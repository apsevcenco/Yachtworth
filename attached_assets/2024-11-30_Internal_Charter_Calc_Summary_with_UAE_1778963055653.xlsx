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exey\ABC Dropbox\T T\проекты\лодки\AA Yachts\2. Charter Boats\2.3. Чартеры S01\2.3.1. РАБОЧИЕ ФАЙЛЫ\"/>
    </mc:Choice>
  </mc:AlternateContent>
  <bookViews>
    <workbookView xWindow="-108" yWindow="-108" windowWidth="23088" windowHeight="7932"/>
  </bookViews>
  <sheets>
    <sheet name="Arcadia 85" sheetId="1" r:id="rId1"/>
    <sheet name="A 85 Service List" sheetId="2" r:id="rId2"/>
    <sheet name="Frauscher Demon" sheetId="4" r:id="rId3"/>
    <sheet name="FD Service List" sheetId="8" r:id="rId4"/>
    <sheet name="SACS 55" sheetId="3" r:id="rId5"/>
    <sheet name="S 55 Service LIst" sheetId="7" r:id="rId6"/>
    <sheet name="Manda S05" sheetId="5" r:id="rId7"/>
    <sheet name="S05 Service List" sheetId="9" r:id="rId8"/>
    <sheet name="TOTAL" sheetId="12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3" l="1"/>
  <c r="L12" i="5"/>
  <c r="M12" i="5"/>
  <c r="L10" i="5"/>
  <c r="L12" i="3"/>
  <c r="M12" i="3"/>
  <c r="L10" i="3"/>
  <c r="M10" i="4"/>
  <c r="N12" i="4" s="1"/>
  <c r="M12" i="4" s="1"/>
  <c r="L10" i="1"/>
  <c r="M12" i="1"/>
  <c r="L12" i="1" s="1"/>
  <c r="I11" i="5" l="1"/>
  <c r="C10" i="5"/>
  <c r="I11" i="3"/>
  <c r="C10" i="3"/>
  <c r="I10" i="3" s="1"/>
  <c r="J11" i="4"/>
  <c r="C10" i="4"/>
  <c r="I11" i="1"/>
  <c r="C10" i="1"/>
  <c r="I10" i="1" s="1"/>
  <c r="I16" i="5" l="1"/>
  <c r="I16" i="3"/>
  <c r="J16" i="4"/>
  <c r="I16" i="1"/>
  <c r="K16" i="5" l="1"/>
  <c r="K16" i="3"/>
  <c r="L16" i="4"/>
  <c r="K16" i="1"/>
  <c r="E11" i="1"/>
  <c r="D47" i="1" s="1"/>
  <c r="C23" i="4"/>
  <c r="F20" i="12" l="1"/>
  <c r="E20" i="12"/>
  <c r="D20" i="12"/>
  <c r="C20" i="12"/>
  <c r="K15" i="5"/>
  <c r="K18" i="5"/>
  <c r="K21" i="5"/>
  <c r="K22" i="5"/>
  <c r="K23" i="5"/>
  <c r="K25" i="5"/>
  <c r="K26" i="5"/>
  <c r="K20" i="3"/>
  <c r="K15" i="3"/>
  <c r="K18" i="3"/>
  <c r="K21" i="3"/>
  <c r="K22" i="3"/>
  <c r="K26" i="3"/>
  <c r="K27" i="3"/>
  <c r="K15" i="1"/>
  <c r="K18" i="1"/>
  <c r="K21" i="1"/>
  <c r="K22" i="1"/>
  <c r="K26" i="1"/>
  <c r="K27" i="1"/>
  <c r="L15" i="4"/>
  <c r="L18" i="4"/>
  <c r="L20" i="4"/>
  <c r="L21" i="4"/>
  <c r="L22" i="4"/>
  <c r="L24" i="4"/>
  <c r="L26" i="4"/>
  <c r="L27" i="4"/>
  <c r="K38" i="5"/>
  <c r="K37" i="5"/>
  <c r="K43" i="5" s="1"/>
  <c r="I13" i="5"/>
  <c r="K13" i="5" s="1"/>
  <c r="I10" i="5"/>
  <c r="K10" i="5" s="1"/>
  <c r="I51" i="5" s="1"/>
  <c r="K39" i="3"/>
  <c r="K38" i="3"/>
  <c r="K44" i="3" s="1"/>
  <c r="I13" i="3"/>
  <c r="K13" i="3" s="1"/>
  <c r="L40" i="4"/>
  <c r="L39" i="4"/>
  <c r="L45" i="4" s="1"/>
  <c r="J13" i="4"/>
  <c r="L13" i="4" s="1"/>
  <c r="J10" i="4"/>
  <c r="J14" i="4" l="1"/>
  <c r="L14" i="4" s="1"/>
  <c r="J29" i="4"/>
  <c r="I14" i="5"/>
  <c r="K14" i="5" s="1"/>
  <c r="I14" i="3"/>
  <c r="K14" i="3" s="1"/>
  <c r="G20" i="12"/>
  <c r="K43" i="3"/>
  <c r="L44" i="4"/>
  <c r="K42" i="5"/>
  <c r="K11" i="5"/>
  <c r="J51" i="5" s="1"/>
  <c r="F30" i="12" s="1"/>
  <c r="K10" i="3"/>
  <c r="K11" i="3"/>
  <c r="L10" i="4"/>
  <c r="J53" i="4" s="1"/>
  <c r="K39" i="1"/>
  <c r="K38" i="1"/>
  <c r="I13" i="1"/>
  <c r="K13" i="1" s="1"/>
  <c r="I12" i="5" l="1"/>
  <c r="K12" i="5" s="1"/>
  <c r="K51" i="5"/>
  <c r="F31" i="12" s="1"/>
  <c r="F32" i="12" s="1"/>
  <c r="F29" i="12"/>
  <c r="J52" i="3"/>
  <c r="E30" i="12" s="1"/>
  <c r="I12" i="3"/>
  <c r="K12" i="3" s="1"/>
  <c r="E29" i="12"/>
  <c r="K43" i="1"/>
  <c r="C21" i="12" s="1"/>
  <c r="K44" i="1"/>
  <c r="F22" i="12"/>
  <c r="F21" i="12"/>
  <c r="E22" i="12"/>
  <c r="E21" i="12"/>
  <c r="K10" i="1"/>
  <c r="I52" i="1" s="1"/>
  <c r="L11" i="4"/>
  <c r="D22" i="12"/>
  <c r="D21" i="12"/>
  <c r="I14" i="1"/>
  <c r="K14" i="1" s="1"/>
  <c r="C3" i="12"/>
  <c r="E3" i="12"/>
  <c r="F3" i="12"/>
  <c r="D3" i="12"/>
  <c r="C22" i="12" l="1"/>
  <c r="G22" i="12" s="1"/>
  <c r="K52" i="3"/>
  <c r="E31" i="12" s="1"/>
  <c r="E32" i="12" s="1"/>
  <c r="K53" i="4"/>
  <c r="D30" i="12" s="1"/>
  <c r="J12" i="4"/>
  <c r="L12" i="4" s="1"/>
  <c r="D29" i="12"/>
  <c r="G21" i="12"/>
  <c r="K11" i="1"/>
  <c r="J52" i="1" s="1"/>
  <c r="C30" i="12" s="1"/>
  <c r="G3" i="12"/>
  <c r="L53" i="4" l="1"/>
  <c r="D31" i="12" s="1"/>
  <c r="D32" i="12" s="1"/>
  <c r="G30" i="12"/>
  <c r="I12" i="1"/>
  <c r="K12" i="1" s="1"/>
  <c r="C29" i="12"/>
  <c r="G29" i="12" s="1"/>
  <c r="K52" i="1"/>
  <c r="C31" i="12" s="1"/>
  <c r="G31" i="12" l="1"/>
  <c r="G32" i="12" s="1"/>
  <c r="C32" i="12"/>
  <c r="C15" i="5"/>
  <c r="I19" i="5" s="1"/>
  <c r="K19" i="5" s="1"/>
  <c r="B7" i="9"/>
  <c r="B8" i="9" s="1"/>
  <c r="E33" i="5"/>
  <c r="E32" i="5"/>
  <c r="E11" i="5"/>
  <c r="D47" i="5" s="1"/>
  <c r="F13" i="12" s="1"/>
  <c r="E21" i="5"/>
  <c r="E20" i="5"/>
  <c r="E17" i="5"/>
  <c r="E16" i="5"/>
  <c r="E14" i="5"/>
  <c r="C13" i="5"/>
  <c r="E13" i="5" s="1"/>
  <c r="E10" i="5"/>
  <c r="K31" i="5" l="1"/>
  <c r="K44" i="5" s="1"/>
  <c r="C47" i="5"/>
  <c r="E47" i="5" s="1"/>
  <c r="F14" i="12" s="1"/>
  <c r="C12" i="5"/>
  <c r="E12" i="5" s="1"/>
  <c r="E26" i="5" s="1"/>
  <c r="E15" i="5"/>
  <c r="E37" i="5"/>
  <c r="F4" i="12" s="1"/>
  <c r="K45" i="5" l="1"/>
  <c r="F23" i="12"/>
  <c r="E39" i="5"/>
  <c r="F6" i="12" s="1"/>
  <c r="F12" i="12"/>
  <c r="E38" i="5"/>
  <c r="K46" i="5"/>
  <c r="F24" i="12"/>
  <c r="B7" i="7"/>
  <c r="B8" i="7" s="1"/>
  <c r="C15" i="3" s="1"/>
  <c r="E33" i="3"/>
  <c r="E32" i="3"/>
  <c r="E11" i="3"/>
  <c r="D47" i="3" s="1"/>
  <c r="E13" i="12" s="1"/>
  <c r="E21" i="3"/>
  <c r="E20" i="3"/>
  <c r="E17" i="3"/>
  <c r="E16" i="3"/>
  <c r="E14" i="3"/>
  <c r="C13" i="3"/>
  <c r="E13" i="3" s="1"/>
  <c r="E10" i="3"/>
  <c r="C12" i="3" l="1"/>
  <c r="E12" i="3" s="1"/>
  <c r="C47" i="3"/>
  <c r="E12" i="12"/>
  <c r="E47" i="3"/>
  <c r="E14" i="12" s="1"/>
  <c r="K48" i="5"/>
  <c r="F27" i="12" s="1"/>
  <c r="F25" i="12"/>
  <c r="E40" i="5"/>
  <c r="F5" i="12"/>
  <c r="F15" i="12" s="1"/>
  <c r="E15" i="3"/>
  <c r="I19" i="3"/>
  <c r="K19" i="3" s="1"/>
  <c r="E37" i="3"/>
  <c r="E4" i="12" s="1"/>
  <c r="E38" i="3"/>
  <c r="E5" i="12" s="1"/>
  <c r="E15" i="12" l="1"/>
  <c r="K32" i="3"/>
  <c r="K45" i="3" s="1"/>
  <c r="E26" i="3"/>
  <c r="E39" i="3" s="1"/>
  <c r="E6" i="12" s="1"/>
  <c r="E41" i="5"/>
  <c r="F7" i="12"/>
  <c r="K46" i="3" l="1"/>
  <c r="E23" i="12"/>
  <c r="E40" i="3"/>
  <c r="E7" i="12" s="1"/>
  <c r="E43" i="5"/>
  <c r="F10" i="12" s="1"/>
  <c r="F8" i="12"/>
  <c r="K47" i="3"/>
  <c r="E24" i="12"/>
  <c r="B7" i="8"/>
  <c r="B8" i="8" s="1"/>
  <c r="C15" i="4" s="1"/>
  <c r="E34" i="4"/>
  <c r="E33" i="4"/>
  <c r="E11" i="4"/>
  <c r="D48" i="4" s="1"/>
  <c r="E21" i="4"/>
  <c r="E20" i="4"/>
  <c r="E17" i="4"/>
  <c r="E16" i="4"/>
  <c r="E14" i="4"/>
  <c r="C13" i="4"/>
  <c r="E13" i="4" s="1"/>
  <c r="E10" i="4"/>
  <c r="C48" i="4" s="1"/>
  <c r="E41" i="3" l="1"/>
  <c r="E8" i="12" s="1"/>
  <c r="C12" i="4"/>
  <c r="E12" i="4" s="1"/>
  <c r="D12" i="12"/>
  <c r="K49" i="3"/>
  <c r="E27" i="12" s="1"/>
  <c r="E25" i="12"/>
  <c r="E15" i="4"/>
  <c r="J19" i="4"/>
  <c r="L19" i="4" s="1"/>
  <c r="E43" i="3"/>
  <c r="E10" i="12" s="1"/>
  <c r="E38" i="4"/>
  <c r="D4" i="12" s="1"/>
  <c r="L33" i="4" l="1"/>
  <c r="L46" i="4" s="1"/>
  <c r="E27" i="4"/>
  <c r="E40" i="4" s="1"/>
  <c r="D6" i="12" s="1"/>
  <c r="E39" i="4"/>
  <c r="C13" i="1"/>
  <c r="B7" i="2"/>
  <c r="B8" i="2" s="1"/>
  <c r="C15" i="1" s="1"/>
  <c r="E10" i="1"/>
  <c r="E33" i="1"/>
  <c r="E32" i="1"/>
  <c r="E17" i="1"/>
  <c r="E21" i="1"/>
  <c r="E20" i="1"/>
  <c r="E16" i="1"/>
  <c r="E14" i="1"/>
  <c r="D23" i="12" l="1"/>
  <c r="L47" i="4"/>
  <c r="D5" i="12"/>
  <c r="C47" i="1"/>
  <c r="C12" i="12" s="1"/>
  <c r="G12" i="12" s="1"/>
  <c r="C12" i="1"/>
  <c r="E41" i="4"/>
  <c r="D7" i="12" s="1"/>
  <c r="L48" i="4"/>
  <c r="D24" i="12"/>
  <c r="E15" i="1"/>
  <c r="I19" i="1"/>
  <c r="K19" i="1" s="1"/>
  <c r="E37" i="1"/>
  <c r="E13" i="1"/>
  <c r="E12" i="1" l="1"/>
  <c r="E26" i="1"/>
  <c r="E42" i="4"/>
  <c r="D8" i="12" s="1"/>
  <c r="D13" i="12"/>
  <c r="E48" i="4"/>
  <c r="D14" i="12" s="1"/>
  <c r="D15" i="12" s="1"/>
  <c r="K32" i="1"/>
  <c r="K45" i="1" s="1"/>
  <c r="L50" i="4"/>
  <c r="D27" i="12" s="1"/>
  <c r="D25" i="12"/>
  <c r="E38" i="1"/>
  <c r="C4" i="12"/>
  <c r="G4" i="12" s="1"/>
  <c r="E44" i="4"/>
  <c r="D10" i="12" s="1"/>
  <c r="K46" i="1" l="1"/>
  <c r="C23" i="12"/>
  <c r="G23" i="12" s="1"/>
  <c r="C5" i="12"/>
  <c r="G5" i="12" s="1"/>
  <c r="K47" i="1"/>
  <c r="C24" i="12"/>
  <c r="G24" i="12" s="1"/>
  <c r="E39" i="1"/>
  <c r="C13" i="12" l="1"/>
  <c r="G13" i="12" s="1"/>
  <c r="E47" i="1"/>
  <c r="C14" i="12" s="1"/>
  <c r="K49" i="1"/>
  <c r="C27" i="12" s="1"/>
  <c r="C25" i="12"/>
  <c r="G25" i="12" s="1"/>
  <c r="G27" i="12" s="1"/>
  <c r="E40" i="1"/>
  <c r="C6" i="12"/>
  <c r="G6" i="12" s="1"/>
  <c r="G14" i="12" l="1"/>
  <c r="G15" i="12" s="1"/>
  <c r="C15" i="12"/>
  <c r="E41" i="1"/>
  <c r="C7" i="12"/>
  <c r="G7" i="12" s="1"/>
  <c r="E43" i="1" l="1"/>
  <c r="C10" i="12" s="1"/>
  <c r="C8" i="12"/>
  <c r="G8" i="12" s="1"/>
  <c r="G10" i="12" s="1"/>
</calcChain>
</file>

<file path=xl/comments1.xml><?xml version="1.0" encoding="utf-8"?>
<comments xmlns="http://schemas.openxmlformats.org/spreadsheetml/2006/main">
  <authors>
    <author>Andrey</author>
    <author>User 8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Andrey:</t>
        </r>
        <r>
          <rPr>
            <sz val="9"/>
            <color indexed="81"/>
            <rFont val="Tahoma"/>
            <family val="2"/>
          </rPr>
          <t xml:space="preserve">
Tax Not Paid</t>
        </r>
      </text>
    </comment>
    <comment ref="C14" authorId="0" shapeId="0">
      <text>
        <r>
          <rPr>
            <b/>
            <sz val="9"/>
            <color indexed="81"/>
            <rFont val="Tahoma"/>
            <family val="2"/>
          </rPr>
          <t>Andrey:</t>
        </r>
        <r>
          <rPr>
            <sz val="9"/>
            <color indexed="81"/>
            <rFont val="Tahoma"/>
            <family val="2"/>
          </rPr>
          <t xml:space="preserve">
Регистрация яхты ежегодная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Andrey:</t>
        </r>
        <r>
          <rPr>
            <sz val="9"/>
            <color indexed="81"/>
            <rFont val="Tahoma"/>
            <family val="2"/>
          </rPr>
          <t xml:space="preserve">
Ежегодное содержание компании</t>
        </r>
      </text>
    </comment>
    <comment ref="H22" authorId="1" shapeId="0">
      <text>
        <r>
          <rPr>
            <b/>
            <sz val="9"/>
            <color indexed="81"/>
            <rFont val="Tahoma"/>
            <family val="2"/>
            <charset val="204"/>
          </rPr>
          <t>User 8:</t>
        </r>
        <r>
          <rPr>
            <sz val="9"/>
            <color indexed="81"/>
            <rFont val="Tahoma"/>
            <family val="2"/>
            <charset val="204"/>
          </rPr>
          <t xml:space="preserve">
проверить</t>
        </r>
      </text>
    </comment>
  </commentList>
</comments>
</file>

<file path=xl/comments2.xml><?xml version="1.0" encoding="utf-8"?>
<comments xmlns="http://schemas.openxmlformats.org/spreadsheetml/2006/main">
  <authors>
    <author>Andrey</author>
    <author>User 8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Andrey:</t>
        </r>
        <r>
          <rPr>
            <sz val="9"/>
            <color indexed="81"/>
            <rFont val="Tahoma"/>
            <family val="2"/>
          </rPr>
          <t xml:space="preserve">
Tax Not Paid</t>
        </r>
      </text>
    </comment>
    <comment ref="I22" authorId="1" shapeId="0">
      <text>
        <r>
          <rPr>
            <b/>
            <sz val="9"/>
            <color indexed="81"/>
            <rFont val="Tahoma"/>
            <family val="2"/>
            <charset val="204"/>
          </rPr>
          <t>User 8:</t>
        </r>
        <r>
          <rPr>
            <sz val="9"/>
            <color indexed="81"/>
            <rFont val="Tahoma"/>
            <family val="2"/>
            <charset val="204"/>
          </rPr>
          <t xml:space="preserve">
проверить</t>
        </r>
      </text>
    </comment>
  </commentList>
</comments>
</file>

<file path=xl/comments3.xml><?xml version="1.0" encoding="utf-8"?>
<comments xmlns="http://schemas.openxmlformats.org/spreadsheetml/2006/main">
  <authors>
    <author>Andrey</author>
    <author>User 8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Andrey:</t>
        </r>
        <r>
          <rPr>
            <sz val="9"/>
            <color indexed="81"/>
            <rFont val="Tahoma"/>
            <family val="2"/>
          </rPr>
          <t xml:space="preserve">
Tax Not Paid</t>
        </r>
      </text>
    </comment>
    <comment ref="H22" authorId="1" shapeId="0">
      <text>
        <r>
          <rPr>
            <b/>
            <sz val="9"/>
            <color indexed="81"/>
            <rFont val="Tahoma"/>
            <family val="2"/>
            <charset val="204"/>
          </rPr>
          <t>User 8:</t>
        </r>
        <r>
          <rPr>
            <sz val="9"/>
            <color indexed="81"/>
            <rFont val="Tahoma"/>
            <family val="2"/>
            <charset val="204"/>
          </rPr>
          <t xml:space="preserve">
проверить</t>
        </r>
      </text>
    </comment>
  </commentList>
</comments>
</file>

<file path=xl/comments4.xml><?xml version="1.0" encoding="utf-8"?>
<comments xmlns="http://schemas.openxmlformats.org/spreadsheetml/2006/main">
  <authors>
    <author>Andrey</author>
    <author>User 8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>Andrey:</t>
        </r>
        <r>
          <rPr>
            <sz val="9"/>
            <color indexed="81"/>
            <rFont val="Tahoma"/>
            <family val="2"/>
          </rPr>
          <t xml:space="preserve">
Tax Not Paid</t>
        </r>
      </text>
    </comment>
    <comment ref="H22" authorId="1" shapeId="0">
      <text>
        <r>
          <rPr>
            <b/>
            <sz val="9"/>
            <color indexed="81"/>
            <rFont val="Tahoma"/>
            <family val="2"/>
            <charset val="204"/>
          </rPr>
          <t>User 8:</t>
        </r>
        <r>
          <rPr>
            <sz val="9"/>
            <color indexed="81"/>
            <rFont val="Tahoma"/>
            <family val="2"/>
            <charset val="204"/>
          </rPr>
          <t xml:space="preserve">
проверить</t>
        </r>
      </text>
    </comment>
  </commentList>
</comments>
</file>

<file path=xl/sharedStrings.xml><?xml version="1.0" encoding="utf-8"?>
<sst xmlns="http://schemas.openxmlformats.org/spreadsheetml/2006/main" count="426" uniqueCount="83">
  <si>
    <t>Цена</t>
  </si>
  <si>
    <t>Расход на содержание лодки в год</t>
  </si>
  <si>
    <t>Страховка</t>
  </si>
  <si>
    <t>Сервис</t>
  </si>
  <si>
    <t>Топливо</t>
  </si>
  <si>
    <t>Капитан</t>
  </si>
  <si>
    <t>Социальные выплаты</t>
  </si>
  <si>
    <t>Регистрация компании</t>
  </si>
  <si>
    <t>Приход</t>
  </si>
  <si>
    <t>01 Мая - 30 Сентября</t>
  </si>
  <si>
    <t>01 Октября - 30 Апреля</t>
  </si>
  <si>
    <t>КОМИССИЯ АГЕНТ</t>
  </si>
  <si>
    <t>РАСХОД НА СОДЕРЖАНИЕ</t>
  </si>
  <si>
    <t>РЕНТАБЕЛЬНОСТЬ</t>
  </si>
  <si>
    <t>Наименование</t>
  </si>
  <si>
    <t>Сумма</t>
  </si>
  <si>
    <t>Стоимость в месяц</t>
  </si>
  <si>
    <t>Кол-во мес.</t>
  </si>
  <si>
    <t>Период</t>
  </si>
  <si>
    <t>Кол-во дней</t>
  </si>
  <si>
    <t>Парковка K Money за 5 лет</t>
  </si>
  <si>
    <t>Норма комиссии агента</t>
  </si>
  <si>
    <t>Покраска днища</t>
  </si>
  <si>
    <t>Сервис лвигателей</t>
  </si>
  <si>
    <t>Сервис генератора</t>
  </si>
  <si>
    <t>Прочее</t>
  </si>
  <si>
    <t>Сервис в год</t>
  </si>
  <si>
    <t>ИТОГО</t>
  </si>
  <si>
    <t xml:space="preserve">Парковка </t>
  </si>
  <si>
    <t>Регистрация яхты на Мальте</t>
  </si>
  <si>
    <t>Норма налога на прибыль Мальта</t>
  </si>
  <si>
    <t>ИТОГО ДОХОД ДО НАЛОГА НА ПРИБЫЛЬ</t>
  </si>
  <si>
    <t>ИТОГО ДОХОД ПОСЛЕ УПЛАТЫ НАЛОГА НА ПРИБЫЛЬ</t>
  </si>
  <si>
    <t>Стоимость в день без НДС</t>
  </si>
  <si>
    <t>НДС 20%</t>
  </si>
  <si>
    <t xml:space="preserve">ИТОГО РАСХОДЫ В ГОД </t>
  </si>
  <si>
    <t xml:space="preserve">ИТОГО ВАЛ ЗА ГОД </t>
  </si>
  <si>
    <t>Frauscher Demon</t>
  </si>
  <si>
    <t>SACS 55</t>
  </si>
  <si>
    <t>Manda S05 (new)</t>
  </si>
  <si>
    <t>Arcadia 80</t>
  </si>
  <si>
    <t>Mandayachts S05</t>
  </si>
  <si>
    <t>ВСЕГО</t>
  </si>
  <si>
    <t>РАЗМЕР ИНВЕСТИЦИЙ</t>
  </si>
  <si>
    <t>ТОЛЬКО ФРАНЦИЯ</t>
  </si>
  <si>
    <t>Парковка Франция</t>
  </si>
  <si>
    <t>Парковка Абу-Даби</t>
  </si>
  <si>
    <t>Перегон лодки Ф-ОАЭ</t>
  </si>
  <si>
    <t>Налоги ОАЭ (?)</t>
  </si>
  <si>
    <t>Расходы на компанию ОАЭ</t>
  </si>
  <si>
    <t>Страховка перегона Ф-ОАЭ</t>
  </si>
  <si>
    <t>Парковка ОАЭ</t>
  </si>
  <si>
    <t>ФРАНЦИЯ + ОАЭ</t>
  </si>
  <si>
    <t>Расходы на содержание лодки в год</t>
  </si>
  <si>
    <t>Agent's income, gross</t>
  </si>
  <si>
    <t>K-Money</t>
  </si>
  <si>
    <t>Fee</t>
  </si>
  <si>
    <t>Total</t>
  </si>
  <si>
    <t>menegment fee</t>
  </si>
  <si>
    <t>Arcadia</t>
  </si>
  <si>
    <t>Frauscher</t>
  </si>
  <si>
    <t>Sacs</t>
  </si>
  <si>
    <t>Manda 05</t>
  </si>
  <si>
    <t>Manda 07</t>
  </si>
  <si>
    <t>Кол-во в год</t>
  </si>
  <si>
    <t>Стоимость за период</t>
  </si>
  <si>
    <t>Management fee</t>
  </si>
  <si>
    <t>K</t>
  </si>
  <si>
    <t>Итого стоимость парковки с менеджментом</t>
  </si>
  <si>
    <t>К</t>
  </si>
  <si>
    <t>Agents income, total</t>
  </si>
  <si>
    <t>Agents income, parking+management</t>
  </si>
  <si>
    <t>parking</t>
  </si>
  <si>
    <t>management</t>
  </si>
  <si>
    <t>Agent's income, parking+management</t>
  </si>
  <si>
    <t>Agent's income, total</t>
  </si>
  <si>
    <t>X</t>
  </si>
  <si>
    <t>Итого стоимость парковки с менеджментом (ПМ)</t>
  </si>
  <si>
    <t>расчет сезонной стоимости ПМ через коэффициент Х</t>
  </si>
  <si>
    <t>Х</t>
  </si>
  <si>
    <t>месяц</t>
  </si>
  <si>
    <t>год</t>
  </si>
  <si>
    <t>сезонная стоимость через коэффициент 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</si>
</sst>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[$EUR]\ * #,##0.00_-;\-[$EUR]\ * #,##0.00_-;_-[$EUR]\ * &quot;-&quot;??_-;_-@_-"/>
    <numFmt numFmtId="165" formatCode="[$€-2]\ #,##0.00"/>
    <numFmt numFmtId="166" formatCode="#,##0.00\ [$€-1]"/>
    <numFmt numFmtId="167" formatCode="[$€-2]\ #,##0.00;\-[$€-2]\ #,##0.00"/>
    <numFmt numFmtId="168" formatCode="_-* #,##0.00\ [$EUR]_-;\-* #,##0.00\ [$EUR]_-;_-* &quot;-&quot;??\ [$EUR]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59">
    <xf numFmtId="0" fontId="0" fillId="0" borderId="0" xfId="0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166" fontId="0" fillId="0" borderId="0" xfId="0" applyNumberFormat="1" applyAlignment="1">
      <alignment vertical="center"/>
    </xf>
    <xf numFmtId="166" fontId="3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164" fontId="8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10" fontId="7" fillId="0" borderId="1" xfId="1" applyNumberFormat="1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165" fontId="13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10" fontId="3" fillId="3" borderId="0" xfId="0" applyNumberFormat="1" applyFont="1" applyFill="1"/>
    <xf numFmtId="0" fontId="13" fillId="0" borderId="1" xfId="0" applyFont="1" applyBorder="1" applyAlignment="1">
      <alignment horizontal="left" vertical="center" wrapText="1"/>
    </xf>
    <xf numFmtId="167" fontId="3" fillId="0" borderId="1" xfId="0" applyNumberFormat="1" applyFont="1" applyBorder="1" applyAlignment="1">
      <alignment vertical="center"/>
    </xf>
    <xf numFmtId="167" fontId="13" fillId="0" borderId="1" xfId="0" applyNumberFormat="1" applyFont="1" applyBorder="1" applyAlignment="1">
      <alignment vertical="center"/>
    </xf>
    <xf numFmtId="10" fontId="8" fillId="0" borderId="1" xfId="0" applyNumberFormat="1" applyFont="1" applyBorder="1" applyAlignment="1">
      <alignment vertical="center"/>
    </xf>
    <xf numFmtId="10" fontId="8" fillId="0" borderId="1" xfId="1" applyNumberFormat="1" applyFont="1" applyBorder="1" applyAlignment="1">
      <alignment vertical="center"/>
    </xf>
    <xf numFmtId="10" fontId="8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7" fillId="4" borderId="1" xfId="0" applyFont="1" applyFill="1" applyBorder="1" applyAlignment="1">
      <alignment vertical="center" wrapText="1"/>
    </xf>
    <xf numFmtId="164" fontId="3" fillId="0" borderId="1" xfId="0" applyNumberFormat="1" applyFont="1" applyBorder="1"/>
    <xf numFmtId="10" fontId="7" fillId="0" borderId="1" xfId="0" applyNumberFormat="1" applyFont="1" applyBorder="1"/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6" fontId="0" fillId="0" borderId="1" xfId="0" applyNumberFormat="1" applyBorder="1" applyAlignment="1">
      <alignment vertical="center"/>
    </xf>
    <xf numFmtId="165" fontId="7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/>
    </xf>
    <xf numFmtId="165" fontId="0" fillId="4" borderId="1" xfId="0" applyNumberFormat="1" applyFill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166" fontId="3" fillId="0" borderId="1" xfId="0" applyNumberFormat="1" applyFont="1" applyBorder="1" applyAlignment="1">
      <alignment vertical="center"/>
    </xf>
    <xf numFmtId="0" fontId="8" fillId="4" borderId="1" xfId="0" applyFont="1" applyFill="1" applyBorder="1" applyAlignment="1">
      <alignment vertical="center" wrapText="1"/>
    </xf>
    <xf numFmtId="165" fontId="3" fillId="4" borderId="1" xfId="0" applyNumberFormat="1" applyFont="1" applyFill="1" applyBorder="1" applyAlignment="1">
      <alignment vertical="center" wrapText="1"/>
    </xf>
    <xf numFmtId="9" fontId="3" fillId="0" borderId="1" xfId="1" applyFont="1" applyBorder="1" applyAlignment="1">
      <alignment vertical="center" wrapText="1"/>
    </xf>
    <xf numFmtId="9" fontId="4" fillId="0" borderId="1" xfId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5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164" fontId="0" fillId="4" borderId="1" xfId="0" applyNumberFormat="1" applyFill="1" applyBorder="1" applyAlignment="1">
      <alignment vertical="center"/>
    </xf>
    <xf numFmtId="10" fontId="0" fillId="0" borderId="1" xfId="0" applyNumberForma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0" fontId="7" fillId="0" borderId="1" xfId="0" applyNumberFormat="1" applyFont="1" applyBorder="1" applyAlignment="1">
      <alignment vertical="center"/>
    </xf>
    <xf numFmtId="166" fontId="3" fillId="4" borderId="1" xfId="0" applyNumberFormat="1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6" fontId="0" fillId="0" borderId="1" xfId="0" applyNumberFormat="1" applyBorder="1" applyAlignment="1">
      <alignment horizontal="center" vertical="center"/>
    </xf>
    <xf numFmtId="165" fontId="0" fillId="0" borderId="4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7" fillId="0" borderId="2" xfId="0" applyFont="1" applyFill="1" applyBorder="1" applyAlignment="1">
      <alignment vertical="center" wrapText="1"/>
    </xf>
    <xf numFmtId="165" fontId="0" fillId="0" borderId="1" xfId="0" applyNumberForma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7" fillId="0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10" fontId="8" fillId="0" borderId="0" xfId="0" applyNumberFormat="1" applyFont="1" applyBorder="1" applyAlignment="1">
      <alignment vertical="center"/>
    </xf>
    <xf numFmtId="10" fontId="8" fillId="3" borderId="0" xfId="0" applyNumberFormat="1" applyFont="1" applyFill="1" applyBorder="1" applyAlignment="1">
      <alignment vertical="center"/>
    </xf>
    <xf numFmtId="166" fontId="10" fillId="0" borderId="0" xfId="0" applyNumberFormat="1" applyFont="1" applyAlignment="1">
      <alignment horizontal="right" vertical="center"/>
    </xf>
    <xf numFmtId="166" fontId="10" fillId="0" borderId="0" xfId="0" applyNumberFormat="1" applyFont="1" applyBorder="1" applyAlignment="1">
      <alignment horizontal="right" vertical="center"/>
    </xf>
    <xf numFmtId="166" fontId="10" fillId="3" borderId="0" xfId="0" applyNumberFormat="1" applyFont="1" applyFill="1" applyBorder="1" applyAlignment="1">
      <alignment horizontal="right" vertical="center"/>
    </xf>
    <xf numFmtId="166" fontId="10" fillId="3" borderId="0" xfId="0" applyNumberFormat="1" applyFont="1" applyFill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0" fontId="13" fillId="0" borderId="0" xfId="0" applyFont="1" applyBorder="1" applyAlignment="1">
      <alignment horizontal="left" vertical="center" wrapText="1"/>
    </xf>
    <xf numFmtId="10" fontId="8" fillId="0" borderId="0" xfId="1" applyNumberFormat="1" applyFont="1" applyBorder="1" applyAlignment="1">
      <alignment vertical="center"/>
    </xf>
    <xf numFmtId="166" fontId="10" fillId="0" borderId="0" xfId="1" applyNumberFormat="1" applyFont="1" applyBorder="1" applyAlignment="1">
      <alignment horizontal="right" vertical="center"/>
    </xf>
    <xf numFmtId="166" fontId="10" fillId="0" borderId="0" xfId="0" applyNumberFormat="1" applyFont="1" applyBorder="1" applyAlignment="1">
      <alignment horizontal="left" vertical="center" wrapText="1"/>
    </xf>
    <xf numFmtId="166" fontId="10" fillId="0" borderId="0" xfId="0" applyNumberFormat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6" fontId="0" fillId="0" borderId="1" xfId="0" applyNumberFormat="1" applyFill="1" applyBorder="1" applyAlignment="1">
      <alignment vertical="center"/>
    </xf>
    <xf numFmtId="0" fontId="7" fillId="2" borderId="1" xfId="0" applyFont="1" applyFill="1" applyBorder="1" applyAlignment="1">
      <alignment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/>
    <xf numFmtId="164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6" fontId="0" fillId="2" borderId="1" xfId="0" applyNumberForma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O52"/>
  <sheetViews>
    <sheetView tabSelected="1" topLeftCell="C1" zoomScale="85" zoomScaleNormal="85" workbookViewId="0">
      <selection activeCell="I52" sqref="I52"/>
    </sheetView>
  </sheetViews>
  <sheetFormatPr defaultRowHeight="14.4" x14ac:dyDescent="0.3"/>
  <cols>
    <col min="1" max="1" width="15.33203125" bestFit="1" customWidth="1"/>
    <col min="2" max="2" width="35" style="9" customWidth="1"/>
    <col min="3" max="3" width="26.5546875" style="106" bestFit="1" customWidth="1"/>
    <col min="4" max="4" width="19.33203125" customWidth="1"/>
    <col min="5" max="5" width="19.5546875" bestFit="1" customWidth="1"/>
    <col min="6" max="6" width="8.6640625" style="103" customWidth="1"/>
    <col min="7" max="7" width="7" hidden="1" customWidth="1"/>
    <col min="8" max="8" width="29" style="9" customWidth="1"/>
    <col min="9" max="9" width="29.109375" style="13" customWidth="1"/>
    <col min="10" max="10" width="22" style="6" customWidth="1"/>
    <col min="11" max="11" width="23.44140625" style="15" customWidth="1"/>
    <col min="12" max="12" width="24.6640625" style="152" bestFit="1" customWidth="1"/>
    <col min="13" max="13" width="15.77734375" style="106" bestFit="1" customWidth="1"/>
    <col min="15" max="15" width="15.33203125" style="1" bestFit="1" customWidth="1"/>
  </cols>
  <sheetData>
    <row r="1" spans="2:15" x14ac:dyDescent="0.3">
      <c r="M1" s="150"/>
    </row>
    <row r="2" spans="2:15" ht="23.4" x14ac:dyDescent="0.3">
      <c r="B2" s="10" t="s">
        <v>40</v>
      </c>
    </row>
    <row r="3" spans="2:15" x14ac:dyDescent="0.3">
      <c r="B3" s="6"/>
    </row>
    <row r="4" spans="2:15" s="2" customFormat="1" ht="15.6" x14ac:dyDescent="0.3">
      <c r="B4" s="11" t="s">
        <v>0</v>
      </c>
      <c r="C4" s="107">
        <v>6000000</v>
      </c>
      <c r="F4" s="104"/>
      <c r="H4" s="8"/>
      <c r="I4" s="14"/>
      <c r="J4" s="11"/>
      <c r="K4" s="16"/>
      <c r="L4" s="155"/>
      <c r="M4" s="121"/>
      <c r="O4" s="3"/>
    </row>
    <row r="6" spans="2:15" ht="33.75" customHeight="1" x14ac:dyDescent="0.3">
      <c r="B6" s="132" t="s">
        <v>44</v>
      </c>
      <c r="C6" s="132"/>
      <c r="D6" s="132"/>
      <c r="E6" s="132"/>
      <c r="H6" s="132" t="s">
        <v>52</v>
      </c>
      <c r="I6" s="132"/>
      <c r="J6" s="132"/>
      <c r="K6" s="132"/>
      <c r="O6"/>
    </row>
    <row r="7" spans="2:15" ht="39" customHeight="1" x14ac:dyDescent="0.3">
      <c r="B7" s="133" t="s">
        <v>1</v>
      </c>
      <c r="C7" s="134"/>
      <c r="D7" s="134"/>
      <c r="E7" s="135"/>
      <c r="H7" s="133" t="s">
        <v>1</v>
      </c>
      <c r="I7" s="134"/>
      <c r="J7" s="134"/>
      <c r="K7" s="135"/>
      <c r="L7" s="153" t="s">
        <v>78</v>
      </c>
      <c r="M7" s="154"/>
      <c r="O7"/>
    </row>
    <row r="8" spans="2:15" ht="15.6" x14ac:dyDescent="0.3">
      <c r="B8" s="40"/>
      <c r="C8" s="100"/>
      <c r="D8" s="41"/>
      <c r="E8" s="41"/>
      <c r="H8" s="50"/>
      <c r="I8" s="51"/>
      <c r="J8" s="22"/>
      <c r="K8" s="52"/>
      <c r="O8"/>
    </row>
    <row r="9" spans="2:15" x14ac:dyDescent="0.3">
      <c r="B9" s="42" t="s">
        <v>14</v>
      </c>
      <c r="C9" s="99" t="s">
        <v>65</v>
      </c>
      <c r="D9" s="43" t="s">
        <v>64</v>
      </c>
      <c r="E9" s="43" t="s">
        <v>15</v>
      </c>
      <c r="F9" s="102" t="s">
        <v>67</v>
      </c>
      <c r="H9" s="26" t="s">
        <v>14</v>
      </c>
      <c r="I9" s="53" t="s">
        <v>65</v>
      </c>
      <c r="J9" s="21" t="s">
        <v>64</v>
      </c>
      <c r="K9" s="54" t="s">
        <v>15</v>
      </c>
      <c r="L9" s="152" t="s">
        <v>76</v>
      </c>
      <c r="M9" s="151">
        <v>9</v>
      </c>
      <c r="O9"/>
    </row>
    <row r="10" spans="2:15" x14ac:dyDescent="0.3">
      <c r="B10" s="112" t="s">
        <v>28</v>
      </c>
      <c r="C10" s="113">
        <f>55000/12</f>
        <v>4583.333333333333</v>
      </c>
      <c r="D10" s="114">
        <v>12</v>
      </c>
      <c r="E10" s="115">
        <f>C10*D10</f>
        <v>55000</v>
      </c>
      <c r="F10" s="103">
        <v>1.5</v>
      </c>
      <c r="H10" s="112" t="s">
        <v>45</v>
      </c>
      <c r="I10" s="118">
        <f>C10</f>
        <v>4583.333333333333</v>
      </c>
      <c r="J10" s="119">
        <v>12</v>
      </c>
      <c r="K10" s="120">
        <f>I10*J10</f>
        <v>55000</v>
      </c>
      <c r="L10" s="152">
        <f>M9/M10</f>
        <v>0.75</v>
      </c>
      <c r="M10" s="106">
        <v>12</v>
      </c>
      <c r="O10"/>
    </row>
    <row r="11" spans="2:15" x14ac:dyDescent="0.3">
      <c r="B11" s="112" t="s">
        <v>66</v>
      </c>
      <c r="C11" s="113">
        <v>3000</v>
      </c>
      <c r="D11" s="114">
        <v>12</v>
      </c>
      <c r="E11" s="116">
        <f>C11*D11</f>
        <v>36000</v>
      </c>
      <c r="H11" s="112" t="s">
        <v>66</v>
      </c>
      <c r="I11" s="118">
        <f>C11</f>
        <v>3000</v>
      </c>
      <c r="J11" s="119">
        <v>6</v>
      </c>
      <c r="K11" s="120">
        <f t="shared" ref="K11:K27" si="0">I11*J11</f>
        <v>18000</v>
      </c>
      <c r="L11" s="84" t="s">
        <v>80</v>
      </c>
      <c r="M11" s="101" t="s">
        <v>81</v>
      </c>
      <c r="O11"/>
    </row>
    <row r="12" spans="2:15" ht="28.8" x14ac:dyDescent="0.3">
      <c r="B12" s="112" t="s">
        <v>68</v>
      </c>
      <c r="C12" s="113">
        <f>(E10*F10+E11)/D12</f>
        <v>9875</v>
      </c>
      <c r="D12" s="117">
        <v>12</v>
      </c>
      <c r="E12" s="116">
        <f>C12*D12</f>
        <v>118500</v>
      </c>
      <c r="H12" s="112" t="s">
        <v>77</v>
      </c>
      <c r="I12" s="118">
        <f>(K10*F10+K11)/J12</f>
        <v>16750</v>
      </c>
      <c r="J12" s="119">
        <v>6</v>
      </c>
      <c r="K12" s="120">
        <f t="shared" si="0"/>
        <v>100500</v>
      </c>
      <c r="L12" s="157">
        <f>M12/J12</f>
        <v>14812.5</v>
      </c>
      <c r="M12" s="85">
        <f>E12*L10</f>
        <v>88875</v>
      </c>
      <c r="O12"/>
    </row>
    <row r="13" spans="2:15" x14ac:dyDescent="0.3">
      <c r="B13" s="26" t="s">
        <v>2</v>
      </c>
      <c r="C13" s="75">
        <f>C4*1%</f>
        <v>60000</v>
      </c>
      <c r="D13" s="45">
        <v>1</v>
      </c>
      <c r="E13" s="44">
        <f t="shared" ref="E13" si="1">C13*D13</f>
        <v>60000</v>
      </c>
      <c r="H13" s="26" t="s">
        <v>2</v>
      </c>
      <c r="I13" s="51">
        <f>C4*0.01</f>
        <v>60000</v>
      </c>
      <c r="J13" s="22">
        <v>1</v>
      </c>
      <c r="K13" s="52">
        <f t="shared" si="0"/>
        <v>60000</v>
      </c>
    </row>
    <row r="14" spans="2:15" x14ac:dyDescent="0.3">
      <c r="B14" s="26" t="s">
        <v>29</v>
      </c>
      <c r="C14" s="75">
        <v>5000</v>
      </c>
      <c r="D14" s="45">
        <v>1</v>
      </c>
      <c r="E14" s="44">
        <f>C14*D14</f>
        <v>5000</v>
      </c>
      <c r="H14" s="47" t="s">
        <v>46</v>
      </c>
      <c r="I14" s="55">
        <f>I10</f>
        <v>4583.333333333333</v>
      </c>
      <c r="J14" s="22">
        <v>1</v>
      </c>
      <c r="K14" s="52">
        <f t="shared" si="0"/>
        <v>4583.333333333333</v>
      </c>
    </row>
    <row r="15" spans="2:15" x14ac:dyDescent="0.3">
      <c r="B15" s="26" t="s">
        <v>3</v>
      </c>
      <c r="C15" s="75">
        <f>'A 85 Service List'!B8</f>
        <v>46022.400000000001</v>
      </c>
      <c r="D15" s="45">
        <v>1</v>
      </c>
      <c r="E15" s="44">
        <f>C15*D15</f>
        <v>46022.400000000001</v>
      </c>
      <c r="H15" s="26" t="s">
        <v>47</v>
      </c>
      <c r="I15" s="81">
        <v>123000</v>
      </c>
      <c r="J15" s="22">
        <v>2</v>
      </c>
      <c r="K15" s="52">
        <f t="shared" si="0"/>
        <v>246000</v>
      </c>
    </row>
    <row r="16" spans="2:15" x14ac:dyDescent="0.3">
      <c r="B16" s="26" t="s">
        <v>4</v>
      </c>
      <c r="C16" s="75">
        <v>0</v>
      </c>
      <c r="D16" s="45">
        <v>1</v>
      </c>
      <c r="E16" s="44">
        <f t="shared" ref="E16:E20" si="2">C16*D16</f>
        <v>0</v>
      </c>
      <c r="H16" s="26" t="s">
        <v>50</v>
      </c>
      <c r="I16" s="81">
        <f>C4*0.002</f>
        <v>12000</v>
      </c>
      <c r="J16" s="82">
        <v>2</v>
      </c>
      <c r="K16" s="111">
        <f t="shared" si="0"/>
        <v>24000</v>
      </c>
    </row>
    <row r="17" spans="2:15" x14ac:dyDescent="0.3">
      <c r="B17" s="26" t="s">
        <v>7</v>
      </c>
      <c r="C17" s="75">
        <v>4000</v>
      </c>
      <c r="D17" s="45">
        <v>1</v>
      </c>
      <c r="E17" s="44">
        <f>C17*D17</f>
        <v>4000</v>
      </c>
      <c r="H17" s="26"/>
      <c r="I17" s="51"/>
      <c r="J17" s="22"/>
      <c r="K17" s="52"/>
    </row>
    <row r="18" spans="2:15" x14ac:dyDescent="0.3">
      <c r="B18" s="26"/>
      <c r="C18" s="75"/>
      <c r="D18" s="45"/>
      <c r="E18" s="44"/>
      <c r="H18" s="26" t="s">
        <v>29</v>
      </c>
      <c r="I18" s="51">
        <v>5000</v>
      </c>
      <c r="J18" s="22">
        <v>1</v>
      </c>
      <c r="K18" s="52">
        <f t="shared" si="0"/>
        <v>5000</v>
      </c>
    </row>
    <row r="19" spans="2:15" s="2" customFormat="1" ht="15.6" x14ac:dyDescent="0.3">
      <c r="B19" s="127" t="s">
        <v>16</v>
      </c>
      <c r="C19" s="128"/>
      <c r="D19" s="45" t="s">
        <v>17</v>
      </c>
      <c r="E19" s="44" t="s">
        <v>15</v>
      </c>
      <c r="F19" s="104"/>
      <c r="H19" s="26" t="s">
        <v>3</v>
      </c>
      <c r="I19" s="51">
        <f>C15</f>
        <v>46022.400000000001</v>
      </c>
      <c r="J19" s="22">
        <v>1</v>
      </c>
      <c r="K19" s="52">
        <f t="shared" si="0"/>
        <v>46022.400000000001</v>
      </c>
      <c r="L19" s="155"/>
      <c r="M19" s="121"/>
      <c r="O19" s="3"/>
    </row>
    <row r="20" spans="2:15" x14ac:dyDescent="0.3">
      <c r="B20" s="26" t="s">
        <v>5</v>
      </c>
      <c r="C20" s="75">
        <v>3000</v>
      </c>
      <c r="D20" s="45">
        <v>12</v>
      </c>
      <c r="E20" s="44">
        <f t="shared" si="2"/>
        <v>36000</v>
      </c>
      <c r="H20" s="26" t="s">
        <v>4</v>
      </c>
      <c r="I20" s="51"/>
      <c r="J20" s="22">
        <v>1</v>
      </c>
      <c r="K20" s="52"/>
    </row>
    <row r="21" spans="2:15" s="2" customFormat="1" ht="15.6" x14ac:dyDescent="0.3">
      <c r="B21" s="26" t="s">
        <v>6</v>
      </c>
      <c r="C21" s="75">
        <v>400</v>
      </c>
      <c r="D21" s="45">
        <v>12</v>
      </c>
      <c r="E21" s="44">
        <f>C21*D21</f>
        <v>4800</v>
      </c>
      <c r="F21" s="104"/>
      <c r="H21" s="26" t="s">
        <v>7</v>
      </c>
      <c r="I21" s="51">
        <v>4000</v>
      </c>
      <c r="J21" s="22">
        <v>1</v>
      </c>
      <c r="K21" s="52">
        <f t="shared" si="0"/>
        <v>4000</v>
      </c>
      <c r="L21" s="155"/>
      <c r="M21" s="121"/>
      <c r="O21" s="3"/>
    </row>
    <row r="22" spans="2:15" s="2" customFormat="1" ht="15.6" x14ac:dyDescent="0.3">
      <c r="B22" s="129"/>
      <c r="C22" s="130"/>
      <c r="D22" s="130"/>
      <c r="E22" s="131"/>
      <c r="F22" s="104"/>
      <c r="H22" s="47" t="s">
        <v>48</v>
      </c>
      <c r="I22" s="55"/>
      <c r="J22" s="22"/>
      <c r="K22" s="52">
        <f t="shared" si="0"/>
        <v>0</v>
      </c>
      <c r="L22" s="155"/>
      <c r="M22" s="121"/>
      <c r="O22" s="3"/>
    </row>
    <row r="23" spans="2:15" s="2" customFormat="1" ht="15.6" x14ac:dyDescent="0.3">
      <c r="B23" s="23" t="s">
        <v>21</v>
      </c>
      <c r="C23" s="108">
        <v>0.2</v>
      </c>
      <c r="D23" s="46"/>
      <c r="E23" s="46"/>
      <c r="F23" s="104"/>
      <c r="H23" s="47" t="s">
        <v>49</v>
      </c>
      <c r="I23" s="51"/>
      <c r="J23" s="22"/>
      <c r="K23" s="52"/>
      <c r="L23" s="155"/>
      <c r="M23" s="121"/>
      <c r="O23" s="3"/>
    </row>
    <row r="24" spans="2:15" s="4" customFormat="1" ht="18" x14ac:dyDescent="0.35">
      <c r="B24" s="26" t="s">
        <v>30</v>
      </c>
      <c r="C24" s="108">
        <v>0.05</v>
      </c>
      <c r="D24" s="41"/>
      <c r="E24" s="41"/>
      <c r="F24" s="105"/>
      <c r="H24" s="80"/>
      <c r="I24" s="78"/>
      <c r="J24" s="22"/>
      <c r="K24" s="52"/>
      <c r="L24" s="156"/>
      <c r="M24" s="122"/>
      <c r="O24" s="5"/>
    </row>
    <row r="25" spans="2:15" x14ac:dyDescent="0.3">
      <c r="B25" s="26"/>
      <c r="C25" s="75"/>
      <c r="D25" s="41"/>
      <c r="E25" s="44"/>
      <c r="H25" s="136" t="s">
        <v>16</v>
      </c>
      <c r="I25" s="137"/>
      <c r="J25" s="68" t="s">
        <v>17</v>
      </c>
      <c r="K25" s="52"/>
    </row>
    <row r="26" spans="2:15" ht="15.6" x14ac:dyDescent="0.3">
      <c r="B26" s="25" t="s">
        <v>35</v>
      </c>
      <c r="C26" s="109"/>
      <c r="D26" s="46"/>
      <c r="E26" s="48">
        <f>SUM(E12:E25)</f>
        <v>274322.40000000002</v>
      </c>
      <c r="H26" s="25" t="s">
        <v>5</v>
      </c>
      <c r="I26" s="56">
        <v>3000</v>
      </c>
      <c r="J26" s="28">
        <v>12</v>
      </c>
      <c r="K26" s="52">
        <f t="shared" si="0"/>
        <v>36000</v>
      </c>
    </row>
    <row r="27" spans="2:15" x14ac:dyDescent="0.3">
      <c r="B27" s="26"/>
      <c r="C27" s="100"/>
      <c r="D27" s="41"/>
      <c r="E27" s="41"/>
      <c r="H27" s="26" t="s">
        <v>6</v>
      </c>
      <c r="I27" s="51">
        <v>400</v>
      </c>
      <c r="J27" s="22">
        <v>12</v>
      </c>
      <c r="K27" s="52">
        <f t="shared" si="0"/>
        <v>4800</v>
      </c>
    </row>
    <row r="28" spans="2:15" s="2" customFormat="1" ht="15.6" x14ac:dyDescent="0.3">
      <c r="B28" s="26"/>
      <c r="C28" s="100"/>
      <c r="D28" s="41"/>
      <c r="E28" s="41"/>
      <c r="F28" s="104"/>
      <c r="H28" s="124"/>
      <c r="I28" s="125"/>
      <c r="J28" s="125"/>
      <c r="K28" s="126"/>
      <c r="L28" s="155"/>
      <c r="M28" s="121"/>
      <c r="O28" s="3"/>
    </row>
    <row r="29" spans="2:15" s="2" customFormat="1" ht="15.6" x14ac:dyDescent="0.3">
      <c r="B29" s="124" t="s">
        <v>8</v>
      </c>
      <c r="C29" s="125"/>
      <c r="D29" s="125"/>
      <c r="E29" s="126"/>
      <c r="F29" s="104"/>
      <c r="H29" s="25" t="s">
        <v>21</v>
      </c>
      <c r="I29" s="60">
        <v>0.2</v>
      </c>
      <c r="J29" s="28"/>
      <c r="K29" s="57"/>
      <c r="L29" s="155"/>
      <c r="M29" s="121"/>
      <c r="O29" s="3"/>
    </row>
    <row r="30" spans="2:15" s="2" customFormat="1" ht="31.2" x14ac:dyDescent="0.3">
      <c r="B30" s="25"/>
      <c r="C30" s="100"/>
      <c r="D30" s="41"/>
      <c r="E30" s="41"/>
      <c r="F30" s="104"/>
      <c r="H30" s="25" t="s">
        <v>30</v>
      </c>
      <c r="I30" s="61">
        <v>0.05</v>
      </c>
      <c r="J30" s="62"/>
      <c r="K30" s="63"/>
      <c r="L30" s="155"/>
      <c r="M30" s="121"/>
      <c r="O30" s="3"/>
    </row>
    <row r="31" spans="2:15" s="2" customFormat="1" ht="15.6" x14ac:dyDescent="0.3">
      <c r="B31" s="25" t="s">
        <v>18</v>
      </c>
      <c r="C31" s="100" t="s">
        <v>33</v>
      </c>
      <c r="D31" s="68" t="s">
        <v>19</v>
      </c>
      <c r="E31" s="68" t="s">
        <v>15</v>
      </c>
      <c r="F31" s="104"/>
      <c r="H31" s="26"/>
      <c r="I31" s="51"/>
      <c r="J31" s="22"/>
      <c r="K31" s="52"/>
      <c r="L31" s="155"/>
      <c r="M31" s="121"/>
      <c r="O31" s="3"/>
    </row>
    <row r="32" spans="2:15" s="2" customFormat="1" ht="15.6" x14ac:dyDescent="0.3">
      <c r="B32" s="26" t="s">
        <v>9</v>
      </c>
      <c r="C32" s="75">
        <v>9000</v>
      </c>
      <c r="D32" s="41">
        <v>60</v>
      </c>
      <c r="E32" s="44">
        <f>C32*D32</f>
        <v>540000</v>
      </c>
      <c r="F32" s="104"/>
      <c r="H32" s="26" t="s">
        <v>35</v>
      </c>
      <c r="I32" s="51"/>
      <c r="J32" s="22"/>
      <c r="K32" s="52">
        <f>SUM(K12:K31)</f>
        <v>530905.7333333334</v>
      </c>
      <c r="L32" s="155"/>
      <c r="M32" s="121"/>
      <c r="O32" s="3"/>
    </row>
    <row r="33" spans="2:15" s="2" customFormat="1" ht="15.6" x14ac:dyDescent="0.3">
      <c r="B33" s="26" t="s">
        <v>10</v>
      </c>
      <c r="C33" s="75">
        <v>7000</v>
      </c>
      <c r="D33" s="41">
        <v>30</v>
      </c>
      <c r="E33" s="44">
        <f t="shared" ref="E33" si="3">C33*D33</f>
        <v>210000</v>
      </c>
      <c r="F33" s="104"/>
      <c r="H33" s="26"/>
      <c r="I33" s="51"/>
      <c r="J33" s="22"/>
      <c r="K33" s="52"/>
      <c r="L33" s="155"/>
      <c r="M33" s="121"/>
      <c r="O33" s="3"/>
    </row>
    <row r="34" spans="2:15" s="2" customFormat="1" ht="27.75" customHeight="1" x14ac:dyDescent="0.3">
      <c r="B34" s="26"/>
      <c r="C34" s="75"/>
      <c r="D34" s="41"/>
      <c r="E34" s="44"/>
      <c r="F34" s="104"/>
      <c r="H34" s="25"/>
      <c r="I34" s="56"/>
      <c r="J34" s="28"/>
      <c r="K34" s="57"/>
      <c r="L34" s="155"/>
      <c r="M34" s="121"/>
      <c r="O34" s="3"/>
    </row>
    <row r="35" spans="2:15" ht="15.6" x14ac:dyDescent="0.3">
      <c r="B35" s="26"/>
      <c r="C35" s="100"/>
      <c r="D35" s="41"/>
      <c r="E35" s="41"/>
      <c r="H35" s="124" t="s">
        <v>8</v>
      </c>
      <c r="I35" s="125"/>
      <c r="J35" s="125"/>
      <c r="K35" s="126"/>
    </row>
    <row r="36" spans="2:15" ht="15.6" x14ac:dyDescent="0.3">
      <c r="B36" s="26"/>
      <c r="C36" s="100"/>
      <c r="D36" s="41"/>
      <c r="E36" s="41"/>
      <c r="H36" s="25"/>
      <c r="I36" s="56"/>
      <c r="J36" s="28"/>
      <c r="K36" s="57"/>
    </row>
    <row r="37" spans="2:15" ht="15.6" x14ac:dyDescent="0.3">
      <c r="B37" s="25" t="s">
        <v>36</v>
      </c>
      <c r="C37" s="110"/>
      <c r="D37" s="46"/>
      <c r="E37" s="48">
        <f>SUM(E32:E36)</f>
        <v>750000</v>
      </c>
      <c r="H37" s="25" t="s">
        <v>18</v>
      </c>
      <c r="I37" s="64" t="s">
        <v>33</v>
      </c>
      <c r="J37" s="65" t="s">
        <v>19</v>
      </c>
      <c r="K37" s="66" t="s">
        <v>15</v>
      </c>
    </row>
    <row r="38" spans="2:15" ht="15.6" x14ac:dyDescent="0.3">
      <c r="B38" s="25" t="s">
        <v>11</v>
      </c>
      <c r="C38" s="110"/>
      <c r="D38" s="46"/>
      <c r="E38" s="48">
        <f>E37*C23</f>
        <v>150000</v>
      </c>
      <c r="H38" s="25" t="s">
        <v>9</v>
      </c>
      <c r="I38" s="56">
        <v>9000</v>
      </c>
      <c r="J38" s="28">
        <v>60</v>
      </c>
      <c r="K38" s="57">
        <f>I38*J38</f>
        <v>540000</v>
      </c>
    </row>
    <row r="39" spans="2:15" ht="15.6" x14ac:dyDescent="0.3">
      <c r="B39" s="25" t="s">
        <v>12</v>
      </c>
      <c r="C39" s="110"/>
      <c r="D39" s="46"/>
      <c r="E39" s="48">
        <f>E26</f>
        <v>274322.40000000002</v>
      </c>
      <c r="H39" s="25" t="s">
        <v>10</v>
      </c>
      <c r="I39" s="59">
        <v>9000</v>
      </c>
      <c r="J39" s="28">
        <v>60</v>
      </c>
      <c r="K39" s="57">
        <f>I39*J39</f>
        <v>540000</v>
      </c>
    </row>
    <row r="40" spans="2:15" ht="31.2" x14ac:dyDescent="0.3">
      <c r="B40" s="25" t="s">
        <v>31</v>
      </c>
      <c r="C40" s="110"/>
      <c r="D40" s="46"/>
      <c r="E40" s="48">
        <f>E37-E38-E39</f>
        <v>325677.59999999998</v>
      </c>
      <c r="H40" s="40"/>
      <c r="I40" s="56"/>
      <c r="J40" s="28"/>
      <c r="K40" s="57"/>
    </row>
    <row r="41" spans="2:15" ht="31.2" x14ac:dyDescent="0.3">
      <c r="B41" s="25" t="s">
        <v>32</v>
      </c>
      <c r="C41" s="110"/>
      <c r="D41" s="46"/>
      <c r="E41" s="48">
        <f>E40-E40*C24</f>
        <v>309393.71999999997</v>
      </c>
      <c r="H41" s="50"/>
      <c r="I41" s="51"/>
      <c r="J41" s="22"/>
      <c r="K41" s="52"/>
    </row>
    <row r="42" spans="2:15" x14ac:dyDescent="0.3">
      <c r="B42" s="26"/>
      <c r="C42" s="100"/>
      <c r="D42" s="41"/>
      <c r="E42" s="41"/>
      <c r="H42" s="50"/>
      <c r="I42" s="51"/>
      <c r="J42" s="22"/>
      <c r="K42" s="52"/>
    </row>
    <row r="43" spans="2:15" ht="15.6" x14ac:dyDescent="0.3">
      <c r="B43" s="25" t="s">
        <v>13</v>
      </c>
      <c r="C43" s="100"/>
      <c r="D43" s="41"/>
      <c r="E43" s="49">
        <f>E41/C4</f>
        <v>5.1565619999999993E-2</v>
      </c>
      <c r="H43" s="26" t="s">
        <v>36</v>
      </c>
      <c r="I43" s="51"/>
      <c r="J43" s="22"/>
      <c r="K43" s="52">
        <f>K38+K39</f>
        <v>1080000</v>
      </c>
    </row>
    <row r="44" spans="2:15" ht="15.6" x14ac:dyDescent="0.3">
      <c r="B44" s="8"/>
      <c r="H44" s="26" t="s">
        <v>11</v>
      </c>
      <c r="I44" s="51"/>
      <c r="J44" s="22"/>
      <c r="K44" s="52">
        <f>K38*I29</f>
        <v>108000</v>
      </c>
    </row>
    <row r="45" spans="2:15" x14ac:dyDescent="0.3">
      <c r="H45" s="26" t="s">
        <v>12</v>
      </c>
      <c r="I45" s="51"/>
      <c r="J45" s="22"/>
      <c r="K45" s="52">
        <f>K32</f>
        <v>530905.7333333334</v>
      </c>
    </row>
    <row r="46" spans="2:15" ht="28.8" x14ac:dyDescent="0.3">
      <c r="B46" s="84" t="s">
        <v>54</v>
      </c>
      <c r="C46" s="100" t="s">
        <v>55</v>
      </c>
      <c r="D46" s="79" t="s">
        <v>56</v>
      </c>
      <c r="E46" s="79" t="s">
        <v>57</v>
      </c>
      <c r="H46" s="26" t="s">
        <v>31</v>
      </c>
      <c r="I46" s="51"/>
      <c r="J46" s="22"/>
      <c r="K46" s="52">
        <f>K43-K44-K45</f>
        <v>441094.2666666666</v>
      </c>
    </row>
    <row r="47" spans="2:15" ht="28.8" x14ac:dyDescent="0.3">
      <c r="B47" s="84"/>
      <c r="C47" s="75">
        <f>E10*F10-E10</f>
        <v>27500</v>
      </c>
      <c r="D47" s="75">
        <f>E11</f>
        <v>36000</v>
      </c>
      <c r="E47" s="85">
        <f>C47+D47</f>
        <v>63500</v>
      </c>
      <c r="H47" s="26" t="s">
        <v>32</v>
      </c>
      <c r="I47" s="51"/>
      <c r="J47" s="22"/>
      <c r="K47" s="52">
        <f>K46-K46*I30</f>
        <v>419039.55333333329</v>
      </c>
    </row>
    <row r="48" spans="2:15" x14ac:dyDescent="0.3">
      <c r="H48" s="26"/>
      <c r="I48" s="51"/>
      <c r="J48" s="22"/>
      <c r="K48" s="52"/>
    </row>
    <row r="49" spans="8:11" x14ac:dyDescent="0.3">
      <c r="H49" s="26" t="s">
        <v>13</v>
      </c>
      <c r="I49" s="51"/>
      <c r="J49" s="22"/>
      <c r="K49" s="24">
        <f>K47/C4</f>
        <v>6.9839925555555543E-2</v>
      </c>
    </row>
    <row r="51" spans="8:11" x14ac:dyDescent="0.3">
      <c r="H51" s="84" t="s">
        <v>54</v>
      </c>
      <c r="I51" s="79" t="s">
        <v>55</v>
      </c>
      <c r="J51" s="79" t="s">
        <v>56</v>
      </c>
      <c r="K51" s="79" t="s">
        <v>57</v>
      </c>
    </row>
    <row r="52" spans="8:11" x14ac:dyDescent="0.3">
      <c r="H52" s="84"/>
      <c r="I52" s="75">
        <f>K10*F10-K10</f>
        <v>27500</v>
      </c>
      <c r="J52" s="75">
        <f>K11</f>
        <v>18000</v>
      </c>
      <c r="K52" s="85">
        <f>I52+J52</f>
        <v>45500</v>
      </c>
    </row>
  </sheetData>
  <mergeCells count="11">
    <mergeCell ref="L7:M7"/>
    <mergeCell ref="B6:E6"/>
    <mergeCell ref="H6:K6"/>
    <mergeCell ref="B7:E7"/>
    <mergeCell ref="H7:K7"/>
    <mergeCell ref="H25:I25"/>
    <mergeCell ref="H28:K28"/>
    <mergeCell ref="H35:K35"/>
    <mergeCell ref="B29:E29"/>
    <mergeCell ref="B19:C19"/>
    <mergeCell ref="B22:E22"/>
  </mergeCell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5" sqref="B5"/>
    </sheetView>
  </sheetViews>
  <sheetFormatPr defaultRowHeight="14.4" x14ac:dyDescent="0.3"/>
  <cols>
    <col min="1" max="1" width="17.44140625" bestFit="1" customWidth="1"/>
    <col min="2" max="2" width="14.33203125" bestFit="1" customWidth="1"/>
  </cols>
  <sheetData>
    <row r="2" spans="1:2" x14ac:dyDescent="0.3">
      <c r="A2" t="s">
        <v>26</v>
      </c>
    </row>
    <row r="3" spans="1:2" x14ac:dyDescent="0.3">
      <c r="A3" t="s">
        <v>22</v>
      </c>
      <c r="B3" s="1">
        <v>23352</v>
      </c>
    </row>
    <row r="4" spans="1:2" x14ac:dyDescent="0.3">
      <c r="A4" t="s">
        <v>23</v>
      </c>
      <c r="B4" s="1">
        <v>12000</v>
      </c>
    </row>
    <row r="5" spans="1:2" x14ac:dyDescent="0.3">
      <c r="A5" t="s">
        <v>24</v>
      </c>
      <c r="B5" s="1">
        <v>1500</v>
      </c>
    </row>
    <row r="6" spans="1:2" x14ac:dyDescent="0.3">
      <c r="A6" t="s">
        <v>25</v>
      </c>
      <c r="B6" s="1">
        <v>1500</v>
      </c>
    </row>
    <row r="7" spans="1:2" x14ac:dyDescent="0.3">
      <c r="A7" t="s">
        <v>34</v>
      </c>
      <c r="B7" s="1">
        <f>(B6+B5+B4+B3)*20%</f>
        <v>7670.4000000000005</v>
      </c>
    </row>
    <row r="8" spans="1:2" x14ac:dyDescent="0.3">
      <c r="A8" t="s">
        <v>27</v>
      </c>
      <c r="B8" s="1">
        <f>SUM(B3:B7)</f>
        <v>46022.400000000001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53"/>
  <sheetViews>
    <sheetView topLeftCell="E1" zoomScale="85" zoomScaleNormal="85" workbookViewId="0">
      <selection activeCell="M16" sqref="M16"/>
    </sheetView>
  </sheetViews>
  <sheetFormatPr defaultColWidth="9.109375" defaultRowHeight="14.4" x14ac:dyDescent="0.3"/>
  <cols>
    <col min="1" max="1" width="15.33203125" style="6" bestFit="1" customWidth="1"/>
    <col min="2" max="2" width="35" style="9" customWidth="1"/>
    <col min="3" max="3" width="26.5546875" style="6" bestFit="1" customWidth="1"/>
    <col min="4" max="4" width="16.33203125" style="6" customWidth="1"/>
    <col min="5" max="5" width="19.5546875" style="6" bestFit="1" customWidth="1"/>
    <col min="6" max="6" width="8.6640625" style="106" customWidth="1"/>
    <col min="7" max="7" width="18.5546875" style="6" bestFit="1" customWidth="1"/>
    <col min="8" max="8" width="7" style="6" hidden="1" customWidth="1"/>
    <col min="9" max="9" width="28.88671875" style="6" customWidth="1"/>
    <col min="10" max="10" width="24.88671875" style="6" customWidth="1"/>
    <col min="11" max="11" width="22.5546875" style="6" customWidth="1"/>
    <col min="12" max="12" width="30.33203125" style="6" customWidth="1"/>
    <col min="13" max="13" width="24.6640625" style="106" bestFit="1" customWidth="1"/>
    <col min="14" max="14" width="14.33203125" style="106" bestFit="1" customWidth="1"/>
    <col min="15" max="15" width="9.109375" style="6"/>
    <col min="16" max="16" width="15.33203125" style="19" bestFit="1" customWidth="1"/>
    <col min="17" max="16384" width="9.109375" style="6"/>
  </cols>
  <sheetData>
    <row r="1" spans="2:16" x14ac:dyDescent="0.3">
      <c r="N1" s="150"/>
    </row>
    <row r="2" spans="2:16" ht="23.4" x14ac:dyDescent="0.3">
      <c r="B2" s="10" t="s">
        <v>37</v>
      </c>
    </row>
    <row r="3" spans="2:16" x14ac:dyDescent="0.3">
      <c r="B3" s="6"/>
    </row>
    <row r="4" spans="2:16" s="11" customFormat="1" ht="15.6" x14ac:dyDescent="0.3">
      <c r="B4" s="11" t="s">
        <v>0</v>
      </c>
      <c r="C4" s="18">
        <v>1500000</v>
      </c>
      <c r="F4" s="121"/>
      <c r="M4" s="121"/>
      <c r="N4" s="121"/>
      <c r="P4" s="18"/>
    </row>
    <row r="6" spans="2:16" ht="32.25" customHeight="1" x14ac:dyDescent="0.3">
      <c r="B6" s="124" t="s">
        <v>44</v>
      </c>
      <c r="C6" s="125"/>
      <c r="D6" s="125"/>
      <c r="E6" s="126"/>
      <c r="I6" s="144" t="s">
        <v>52</v>
      </c>
      <c r="J6" s="145"/>
      <c r="K6" s="145"/>
      <c r="L6" s="146"/>
      <c r="P6" s="6"/>
    </row>
    <row r="7" spans="2:16" ht="24.75" customHeight="1" x14ac:dyDescent="0.3">
      <c r="B7" s="133" t="s">
        <v>1</v>
      </c>
      <c r="C7" s="134"/>
      <c r="D7" s="134"/>
      <c r="E7" s="135"/>
      <c r="I7" s="141" t="s">
        <v>1</v>
      </c>
      <c r="J7" s="142"/>
      <c r="K7" s="142"/>
      <c r="L7" s="143"/>
      <c r="P7" s="6"/>
    </row>
    <row r="8" spans="2:16" ht="31.2" customHeight="1" x14ac:dyDescent="0.3">
      <c r="B8" s="40"/>
      <c r="C8" s="22"/>
      <c r="D8" s="22"/>
      <c r="E8" s="22"/>
      <c r="I8" s="22"/>
      <c r="J8" s="22"/>
      <c r="K8" s="22"/>
      <c r="L8" s="67"/>
      <c r="M8" s="153" t="s">
        <v>82</v>
      </c>
      <c r="N8" s="154"/>
      <c r="P8" s="6"/>
    </row>
    <row r="9" spans="2:16" x14ac:dyDescent="0.3">
      <c r="B9" s="50" t="s">
        <v>14</v>
      </c>
      <c r="C9" s="22" t="s">
        <v>65</v>
      </c>
      <c r="D9" s="22" t="s">
        <v>64</v>
      </c>
      <c r="E9" s="22" t="s">
        <v>15</v>
      </c>
      <c r="F9" s="106" t="s">
        <v>69</v>
      </c>
      <c r="I9" s="26" t="s">
        <v>14</v>
      </c>
      <c r="J9" s="53" t="s">
        <v>65</v>
      </c>
      <c r="K9" s="21" t="s">
        <v>64</v>
      </c>
      <c r="L9" s="54" t="s">
        <v>15</v>
      </c>
      <c r="M9" s="106" t="s">
        <v>79</v>
      </c>
      <c r="N9" s="151">
        <v>9</v>
      </c>
      <c r="P9" s="6"/>
    </row>
    <row r="10" spans="2:16" x14ac:dyDescent="0.3">
      <c r="B10" s="123" t="s">
        <v>28</v>
      </c>
      <c r="C10" s="116">
        <f>18211/12</f>
        <v>1517.5833333333333</v>
      </c>
      <c r="D10" s="117">
        <v>12</v>
      </c>
      <c r="E10" s="116">
        <f>C10*D10</f>
        <v>18211</v>
      </c>
      <c r="F10" s="106">
        <v>1.5</v>
      </c>
      <c r="G10" s="19"/>
      <c r="I10" s="112" t="s">
        <v>45</v>
      </c>
      <c r="J10" s="118">
        <f>C10</f>
        <v>1517.5833333333333</v>
      </c>
      <c r="K10" s="119">
        <v>12</v>
      </c>
      <c r="L10" s="120">
        <f>J10*K10</f>
        <v>18211</v>
      </c>
      <c r="M10" s="106">
        <f>N9/N10</f>
        <v>0.75</v>
      </c>
      <c r="N10" s="106">
        <v>12</v>
      </c>
      <c r="P10" s="6"/>
    </row>
    <row r="11" spans="2:16" x14ac:dyDescent="0.3">
      <c r="B11" s="123" t="s">
        <v>66</v>
      </c>
      <c r="C11" s="116">
        <v>1000</v>
      </c>
      <c r="D11" s="117">
        <v>12</v>
      </c>
      <c r="E11" s="116">
        <f>C11*D11</f>
        <v>12000</v>
      </c>
      <c r="G11" s="19"/>
      <c r="I11" s="112" t="s">
        <v>66</v>
      </c>
      <c r="J11" s="118">
        <f>C11</f>
        <v>1000</v>
      </c>
      <c r="K11" s="119">
        <v>9</v>
      </c>
      <c r="L11" s="120">
        <f t="shared" ref="L11:L27" si="0">J11*K11</f>
        <v>9000</v>
      </c>
      <c r="M11" s="101" t="s">
        <v>80</v>
      </c>
      <c r="N11" s="101" t="s">
        <v>81</v>
      </c>
      <c r="P11" s="6"/>
    </row>
    <row r="12" spans="2:16" ht="28.8" x14ac:dyDescent="0.3">
      <c r="B12" s="123" t="s">
        <v>68</v>
      </c>
      <c r="C12" s="116">
        <f>(E10*F10+E11)/D12</f>
        <v>3276.375</v>
      </c>
      <c r="D12" s="117">
        <v>12</v>
      </c>
      <c r="E12" s="116">
        <f>C12*D12</f>
        <v>39316.5</v>
      </c>
      <c r="G12" s="19"/>
      <c r="I12" s="112" t="s">
        <v>68</v>
      </c>
      <c r="J12" s="118">
        <f>(L10*F10+L11)/K12</f>
        <v>4035.1666666666665</v>
      </c>
      <c r="K12" s="119">
        <v>9</v>
      </c>
      <c r="L12" s="120">
        <f t="shared" si="0"/>
        <v>36316.5</v>
      </c>
      <c r="M12" s="85">
        <f>N12/K12</f>
        <v>3276.375</v>
      </c>
      <c r="N12" s="85">
        <f>E12*M10</f>
        <v>29487.375</v>
      </c>
      <c r="P12" s="6"/>
    </row>
    <row r="13" spans="2:16" x14ac:dyDescent="0.3">
      <c r="B13" s="50" t="s">
        <v>2</v>
      </c>
      <c r="C13" s="67">
        <f>C4*1%</f>
        <v>15000</v>
      </c>
      <c r="D13" s="68">
        <v>1</v>
      </c>
      <c r="E13" s="67">
        <f t="shared" ref="E13" si="1">C13*D13</f>
        <v>15000</v>
      </c>
      <c r="I13" s="26" t="s">
        <v>2</v>
      </c>
      <c r="J13" s="51">
        <f>C4*0.01</f>
        <v>15000</v>
      </c>
      <c r="K13" s="22">
        <v>1</v>
      </c>
      <c r="L13" s="52">
        <f t="shared" si="0"/>
        <v>15000</v>
      </c>
    </row>
    <row r="14" spans="2:16" x14ac:dyDescent="0.3">
      <c r="B14" s="50" t="s">
        <v>29</v>
      </c>
      <c r="C14" s="67">
        <v>5000</v>
      </c>
      <c r="D14" s="68">
        <v>1</v>
      </c>
      <c r="E14" s="67">
        <f>C14*D14</f>
        <v>5000</v>
      </c>
      <c r="I14" s="47" t="s">
        <v>46</v>
      </c>
      <c r="J14" s="55">
        <f>J10</f>
        <v>1517.5833333333333</v>
      </c>
      <c r="K14" s="22">
        <v>1</v>
      </c>
      <c r="L14" s="52">
        <f t="shared" si="0"/>
        <v>1517.5833333333333</v>
      </c>
    </row>
    <row r="15" spans="2:16" x14ac:dyDescent="0.3">
      <c r="B15" s="50" t="s">
        <v>3</v>
      </c>
      <c r="C15" s="67">
        <f>'FD Service List'!B8</f>
        <v>19848</v>
      </c>
      <c r="D15" s="68">
        <v>1</v>
      </c>
      <c r="E15" s="67">
        <f>C15*D15</f>
        <v>19848</v>
      </c>
      <c r="I15" s="26" t="s">
        <v>47</v>
      </c>
      <c r="J15" s="81">
        <v>47000</v>
      </c>
      <c r="K15" s="82">
        <v>2</v>
      </c>
      <c r="L15" s="52">
        <f t="shared" si="0"/>
        <v>94000</v>
      </c>
    </row>
    <row r="16" spans="2:16" x14ac:dyDescent="0.3">
      <c r="B16" s="50" t="s">
        <v>4</v>
      </c>
      <c r="C16" s="67">
        <v>0</v>
      </c>
      <c r="D16" s="68">
        <v>1</v>
      </c>
      <c r="E16" s="67">
        <f t="shared" ref="E16:E20" si="2">C16*D16</f>
        <v>0</v>
      </c>
      <c r="I16" s="26" t="s">
        <v>50</v>
      </c>
      <c r="J16" s="81">
        <f>C4*0.002</f>
        <v>3000</v>
      </c>
      <c r="K16" s="82">
        <v>2</v>
      </c>
      <c r="L16" s="52">
        <f t="shared" si="0"/>
        <v>6000</v>
      </c>
    </row>
    <row r="17" spans="2:16" x14ac:dyDescent="0.3">
      <c r="B17" s="50" t="s">
        <v>7</v>
      </c>
      <c r="C17" s="67">
        <v>4000</v>
      </c>
      <c r="D17" s="68">
        <v>1</v>
      </c>
      <c r="E17" s="67">
        <f>C17*D17</f>
        <v>4000</v>
      </c>
      <c r="I17" s="26"/>
      <c r="J17" s="51"/>
      <c r="K17" s="22"/>
      <c r="L17" s="52"/>
    </row>
    <row r="18" spans="2:16" x14ac:dyDescent="0.3">
      <c r="B18" s="50"/>
      <c r="C18" s="67"/>
      <c r="D18" s="68"/>
      <c r="E18" s="67"/>
      <c r="I18" s="26" t="s">
        <v>29</v>
      </c>
      <c r="J18" s="51">
        <v>5000</v>
      </c>
      <c r="K18" s="22">
        <v>1</v>
      </c>
      <c r="L18" s="52">
        <f t="shared" si="0"/>
        <v>5000</v>
      </c>
    </row>
    <row r="19" spans="2:16" s="11" customFormat="1" ht="15.6" x14ac:dyDescent="0.3">
      <c r="B19" s="127" t="s">
        <v>16</v>
      </c>
      <c r="C19" s="128"/>
      <c r="D19" s="68" t="s">
        <v>17</v>
      </c>
      <c r="E19" s="75" t="s">
        <v>15</v>
      </c>
      <c r="F19" s="121"/>
      <c r="I19" s="26" t="s">
        <v>3</v>
      </c>
      <c r="J19" s="51">
        <f>C15</f>
        <v>19848</v>
      </c>
      <c r="K19" s="22">
        <v>1</v>
      </c>
      <c r="L19" s="52">
        <f t="shared" si="0"/>
        <v>19848</v>
      </c>
      <c r="M19" s="121"/>
      <c r="N19" s="121"/>
      <c r="P19" s="18"/>
    </row>
    <row r="20" spans="2:16" x14ac:dyDescent="0.3">
      <c r="B20" s="50" t="s">
        <v>5</v>
      </c>
      <c r="C20" s="67">
        <v>0</v>
      </c>
      <c r="D20" s="68">
        <v>12</v>
      </c>
      <c r="E20" s="67">
        <f t="shared" si="2"/>
        <v>0</v>
      </c>
      <c r="I20" s="26" t="s">
        <v>4</v>
      </c>
      <c r="J20" s="51"/>
      <c r="K20" s="22">
        <v>1</v>
      </c>
      <c r="L20" s="52">
        <f t="shared" si="0"/>
        <v>0</v>
      </c>
    </row>
    <row r="21" spans="2:16" s="11" customFormat="1" ht="15.6" x14ac:dyDescent="0.3">
      <c r="B21" s="50" t="s">
        <v>6</v>
      </c>
      <c r="C21" s="67">
        <v>0</v>
      </c>
      <c r="D21" s="68">
        <v>12</v>
      </c>
      <c r="E21" s="67">
        <f>C21*D21</f>
        <v>0</v>
      </c>
      <c r="F21" s="121"/>
      <c r="I21" s="26" t="s">
        <v>7</v>
      </c>
      <c r="J21" s="51">
        <v>4000</v>
      </c>
      <c r="K21" s="22">
        <v>1</v>
      </c>
      <c r="L21" s="52">
        <f t="shared" si="0"/>
        <v>4000</v>
      </c>
      <c r="M21" s="121"/>
      <c r="N21" s="121"/>
      <c r="P21" s="18"/>
    </row>
    <row r="22" spans="2:16" s="11" customFormat="1" ht="15.6" x14ac:dyDescent="0.3">
      <c r="B22" s="138"/>
      <c r="C22" s="139"/>
      <c r="D22" s="139"/>
      <c r="E22" s="140"/>
      <c r="F22" s="121"/>
      <c r="I22" s="47" t="s">
        <v>48</v>
      </c>
      <c r="J22" s="55"/>
      <c r="K22" s="22"/>
      <c r="L22" s="52">
        <f t="shared" si="0"/>
        <v>0</v>
      </c>
      <c r="M22" s="121"/>
      <c r="N22" s="121"/>
      <c r="P22" s="18"/>
    </row>
    <row r="23" spans="2:16" s="11" customFormat="1" ht="15.6" x14ac:dyDescent="0.3">
      <c r="B23" s="69" t="s">
        <v>20</v>
      </c>
      <c r="C23" s="70">
        <f>C10*5/2</f>
        <v>3793.958333333333</v>
      </c>
      <c r="D23" s="28"/>
      <c r="E23" s="28"/>
      <c r="F23" s="121"/>
      <c r="I23" s="47" t="s">
        <v>49</v>
      </c>
      <c r="J23" s="55"/>
      <c r="K23" s="22"/>
      <c r="L23" s="52"/>
      <c r="M23" s="121"/>
      <c r="N23" s="121"/>
      <c r="P23" s="18"/>
    </row>
    <row r="24" spans="2:16" s="12" customFormat="1" ht="18" x14ac:dyDescent="0.3">
      <c r="B24" s="22" t="s">
        <v>21</v>
      </c>
      <c r="C24" s="71">
        <v>0.2</v>
      </c>
      <c r="D24" s="28"/>
      <c r="E24" s="28"/>
      <c r="F24" s="122"/>
      <c r="I24" s="26"/>
      <c r="J24" s="51"/>
      <c r="K24" s="22"/>
      <c r="L24" s="52">
        <f t="shared" si="0"/>
        <v>0</v>
      </c>
      <c r="M24" s="122"/>
      <c r="N24" s="122"/>
      <c r="P24" s="76"/>
    </row>
    <row r="25" spans="2:16" x14ac:dyDescent="0.3">
      <c r="B25" s="50" t="s">
        <v>30</v>
      </c>
      <c r="C25" s="71">
        <v>0.05</v>
      </c>
      <c r="D25" s="22"/>
      <c r="E25" s="22"/>
      <c r="I25" s="136" t="s">
        <v>16</v>
      </c>
      <c r="J25" s="137"/>
      <c r="K25" s="68" t="s">
        <v>17</v>
      </c>
      <c r="L25" s="52"/>
    </row>
    <row r="26" spans="2:16" ht="15.6" x14ac:dyDescent="0.3">
      <c r="B26" s="50"/>
      <c r="C26" s="67"/>
      <c r="D26" s="22"/>
      <c r="E26" s="67"/>
      <c r="I26" s="25" t="s">
        <v>5</v>
      </c>
      <c r="J26" s="56"/>
      <c r="K26" s="28">
        <v>12</v>
      </c>
      <c r="L26" s="52">
        <f t="shared" si="0"/>
        <v>0</v>
      </c>
    </row>
    <row r="27" spans="2:16" ht="15.6" x14ac:dyDescent="0.3">
      <c r="B27" s="40" t="s">
        <v>35</v>
      </c>
      <c r="C27" s="72"/>
      <c r="D27" s="28"/>
      <c r="E27" s="72">
        <f>SUM(E12:E26)</f>
        <v>83164.5</v>
      </c>
      <c r="I27" s="26" t="s">
        <v>6</v>
      </c>
      <c r="J27" s="51"/>
      <c r="K27" s="22">
        <v>12</v>
      </c>
      <c r="L27" s="52">
        <f t="shared" si="0"/>
        <v>0</v>
      </c>
    </row>
    <row r="28" spans="2:16" s="11" customFormat="1" ht="24.75" customHeight="1" x14ac:dyDescent="0.3">
      <c r="B28" s="50"/>
      <c r="C28" s="22"/>
      <c r="D28" s="22"/>
      <c r="E28" s="22"/>
      <c r="F28" s="121"/>
      <c r="I28" s="124"/>
      <c r="J28" s="125"/>
      <c r="K28" s="125"/>
      <c r="L28" s="126"/>
      <c r="M28" s="121"/>
      <c r="N28" s="121"/>
      <c r="P28" s="18"/>
    </row>
    <row r="29" spans="2:16" s="11" customFormat="1" ht="30" customHeight="1" x14ac:dyDescent="0.3">
      <c r="B29" s="50"/>
      <c r="C29" s="22"/>
      <c r="D29" s="22"/>
      <c r="E29" s="22"/>
      <c r="F29" s="121"/>
      <c r="I29" s="58" t="s">
        <v>20</v>
      </c>
      <c r="J29" s="74">
        <f>J10*5/2</f>
        <v>3793.958333333333</v>
      </c>
      <c r="K29" s="27"/>
      <c r="L29" s="57"/>
      <c r="M29" s="121"/>
      <c r="N29" s="121"/>
      <c r="P29" s="18"/>
    </row>
    <row r="30" spans="2:16" s="11" customFormat="1" ht="15.6" x14ac:dyDescent="0.3">
      <c r="B30" s="124" t="s">
        <v>8</v>
      </c>
      <c r="C30" s="125"/>
      <c r="D30" s="125"/>
      <c r="E30" s="126"/>
      <c r="F30" s="121"/>
      <c r="I30" s="25" t="s">
        <v>21</v>
      </c>
      <c r="J30" s="60">
        <v>0.2</v>
      </c>
      <c r="K30" s="28"/>
      <c r="L30" s="57"/>
      <c r="M30" s="121"/>
      <c r="N30" s="121"/>
      <c r="P30" s="18"/>
    </row>
    <row r="31" spans="2:16" s="11" customFormat="1" ht="31.2" x14ac:dyDescent="0.3">
      <c r="B31" s="40"/>
      <c r="C31" s="22"/>
      <c r="D31" s="22"/>
      <c r="E31" s="22"/>
      <c r="F31" s="121"/>
      <c r="I31" s="25" t="s">
        <v>30</v>
      </c>
      <c r="J31" s="61">
        <v>0.05</v>
      </c>
      <c r="K31" s="62"/>
      <c r="L31" s="63"/>
      <c r="M31" s="121"/>
      <c r="N31" s="121"/>
      <c r="P31" s="18"/>
    </row>
    <row r="32" spans="2:16" s="11" customFormat="1" ht="15.6" customHeight="1" x14ac:dyDescent="0.3">
      <c r="B32" s="40" t="s">
        <v>18</v>
      </c>
      <c r="C32" s="22" t="s">
        <v>33</v>
      </c>
      <c r="D32" s="22" t="s">
        <v>19</v>
      </c>
      <c r="E32" s="22" t="s">
        <v>15</v>
      </c>
      <c r="F32" s="121"/>
      <c r="I32" s="26"/>
      <c r="J32" s="51"/>
      <c r="K32" s="22"/>
      <c r="L32" s="52"/>
      <c r="M32" s="121"/>
      <c r="N32" s="121"/>
      <c r="P32" s="18"/>
    </row>
    <row r="33" spans="2:16" s="11" customFormat="1" ht="15.6" customHeight="1" x14ac:dyDescent="0.3">
      <c r="B33" s="50" t="s">
        <v>9</v>
      </c>
      <c r="C33" s="67">
        <v>3250</v>
      </c>
      <c r="D33" s="22">
        <v>60</v>
      </c>
      <c r="E33" s="67">
        <f>C33*D33</f>
        <v>195000</v>
      </c>
      <c r="F33" s="121"/>
      <c r="I33" s="26" t="s">
        <v>35</v>
      </c>
      <c r="J33" s="51"/>
      <c r="K33" s="22"/>
      <c r="L33" s="52">
        <f>SUM(L12:L32)</f>
        <v>181682.08333333334</v>
      </c>
      <c r="M33" s="121"/>
      <c r="N33" s="121"/>
      <c r="P33" s="18"/>
    </row>
    <row r="34" spans="2:16" s="11" customFormat="1" ht="15.6" customHeight="1" x14ac:dyDescent="0.3">
      <c r="B34" s="50" t="s">
        <v>10</v>
      </c>
      <c r="C34" s="67">
        <v>2750</v>
      </c>
      <c r="D34" s="22">
        <v>30</v>
      </c>
      <c r="E34" s="67">
        <f t="shared" ref="E34" si="3">C34*D34</f>
        <v>82500</v>
      </c>
      <c r="F34" s="121"/>
      <c r="I34" s="26"/>
      <c r="J34" s="51"/>
      <c r="K34" s="22"/>
      <c r="L34" s="52"/>
      <c r="M34" s="121"/>
      <c r="N34" s="121"/>
      <c r="P34" s="18"/>
    </row>
    <row r="35" spans="2:16" ht="34.5" customHeight="1" x14ac:dyDescent="0.3">
      <c r="B35" s="50"/>
      <c r="C35" s="67"/>
      <c r="D35" s="22"/>
      <c r="E35" s="67"/>
      <c r="I35" s="25"/>
      <c r="J35" s="56"/>
      <c r="K35" s="28"/>
      <c r="L35" s="57"/>
    </row>
    <row r="36" spans="2:16" ht="15.6" customHeight="1" x14ac:dyDescent="0.3">
      <c r="B36" s="50"/>
      <c r="C36" s="22"/>
      <c r="D36" s="22"/>
      <c r="E36" s="22"/>
      <c r="I36" s="124" t="s">
        <v>8</v>
      </c>
      <c r="J36" s="125"/>
      <c r="K36" s="125"/>
      <c r="L36" s="126"/>
    </row>
    <row r="37" spans="2:16" ht="15.6" customHeight="1" x14ac:dyDescent="0.3">
      <c r="B37" s="50"/>
      <c r="C37" s="22"/>
      <c r="D37" s="22"/>
      <c r="E37" s="22"/>
      <c r="I37" s="25"/>
      <c r="J37" s="56"/>
      <c r="K37" s="28"/>
      <c r="L37" s="57"/>
    </row>
    <row r="38" spans="2:16" ht="15.6" customHeight="1" x14ac:dyDescent="0.3">
      <c r="B38" s="40" t="s">
        <v>36</v>
      </c>
      <c r="C38" s="28"/>
      <c r="D38" s="28"/>
      <c r="E38" s="72">
        <f>SUM(E33:E37)</f>
        <v>277500</v>
      </c>
      <c r="I38" s="25" t="s">
        <v>18</v>
      </c>
      <c r="J38" s="64" t="s">
        <v>33</v>
      </c>
      <c r="K38" s="65" t="s">
        <v>19</v>
      </c>
      <c r="L38" s="66" t="s">
        <v>15</v>
      </c>
    </row>
    <row r="39" spans="2:16" ht="15.6" customHeight="1" x14ac:dyDescent="0.3">
      <c r="B39" s="40" t="s">
        <v>11</v>
      </c>
      <c r="C39" s="28"/>
      <c r="D39" s="28"/>
      <c r="E39" s="72">
        <f>E38*C24</f>
        <v>55500</v>
      </c>
      <c r="I39" s="25" t="s">
        <v>9</v>
      </c>
      <c r="J39" s="56">
        <v>3250</v>
      </c>
      <c r="K39" s="28">
        <v>60</v>
      </c>
      <c r="L39" s="57">
        <f>J39*K39</f>
        <v>195000</v>
      </c>
    </row>
    <row r="40" spans="2:16" ht="15.6" customHeight="1" x14ac:dyDescent="0.3">
      <c r="B40" s="40" t="s">
        <v>12</v>
      </c>
      <c r="C40" s="28"/>
      <c r="D40" s="28"/>
      <c r="E40" s="72">
        <f>E27</f>
        <v>83164.5</v>
      </c>
      <c r="I40" s="25" t="s">
        <v>10</v>
      </c>
      <c r="J40" s="59">
        <v>3250</v>
      </c>
      <c r="K40" s="28">
        <v>60</v>
      </c>
      <c r="L40" s="57">
        <f>J40*K40</f>
        <v>195000</v>
      </c>
    </row>
    <row r="41" spans="2:16" ht="15.6" customHeight="1" x14ac:dyDescent="0.3">
      <c r="B41" s="40" t="s">
        <v>31</v>
      </c>
      <c r="C41" s="28"/>
      <c r="D41" s="28"/>
      <c r="E41" s="72">
        <f>E38-E39-E40</f>
        <v>138835.5</v>
      </c>
      <c r="I41" s="40"/>
      <c r="J41" s="56"/>
      <c r="K41" s="28"/>
      <c r="L41" s="57"/>
    </row>
    <row r="42" spans="2:16" ht="15.6" customHeight="1" x14ac:dyDescent="0.3">
      <c r="B42" s="40" t="s">
        <v>32</v>
      </c>
      <c r="C42" s="28"/>
      <c r="D42" s="28"/>
      <c r="E42" s="72">
        <f>E41-E41*C25</f>
        <v>131893.72500000001</v>
      </c>
      <c r="I42" s="50"/>
      <c r="J42" s="51"/>
      <c r="K42" s="22"/>
      <c r="L42" s="52"/>
    </row>
    <row r="43" spans="2:16" ht="15.6" customHeight="1" x14ac:dyDescent="0.3">
      <c r="B43" s="50"/>
      <c r="C43" s="22"/>
      <c r="D43" s="22"/>
      <c r="E43" s="22"/>
      <c r="I43" s="50"/>
      <c r="J43" s="51"/>
      <c r="K43" s="22"/>
      <c r="L43" s="52"/>
    </row>
    <row r="44" spans="2:16" ht="15.6" x14ac:dyDescent="0.3">
      <c r="B44" s="25" t="s">
        <v>13</v>
      </c>
      <c r="C44" s="23"/>
      <c r="D44" s="23"/>
      <c r="E44" s="73">
        <f>E42/C4</f>
        <v>8.7929149999999998E-2</v>
      </c>
      <c r="I44" s="26" t="s">
        <v>36</v>
      </c>
      <c r="J44" s="51"/>
      <c r="K44" s="22"/>
      <c r="L44" s="52">
        <f>L39+L40</f>
        <v>390000</v>
      </c>
    </row>
    <row r="45" spans="2:16" ht="15.6" x14ac:dyDescent="0.3">
      <c r="B45" s="8"/>
      <c r="I45" s="26" t="s">
        <v>11</v>
      </c>
      <c r="J45" s="51"/>
      <c r="K45" s="22"/>
      <c r="L45" s="52">
        <f>L39*J30</f>
        <v>39000</v>
      </c>
    </row>
    <row r="46" spans="2:16" x14ac:dyDescent="0.3">
      <c r="I46" s="26" t="s">
        <v>12</v>
      </c>
      <c r="J46" s="51"/>
      <c r="K46" s="22"/>
      <c r="L46" s="52">
        <f>L33</f>
        <v>181682.08333333334</v>
      </c>
    </row>
    <row r="47" spans="2:16" ht="28.8" x14ac:dyDescent="0.3">
      <c r="B47" s="84" t="s">
        <v>54</v>
      </c>
      <c r="C47" s="79" t="s">
        <v>55</v>
      </c>
      <c r="D47" s="79" t="s">
        <v>56</v>
      </c>
      <c r="E47" s="79" t="s">
        <v>57</v>
      </c>
      <c r="I47" s="26" t="s">
        <v>31</v>
      </c>
      <c r="J47" s="51"/>
      <c r="K47" s="22"/>
      <c r="L47" s="52">
        <f>L44-L45-L46</f>
        <v>169317.91666666666</v>
      </c>
    </row>
    <row r="48" spans="2:16" ht="28.8" x14ac:dyDescent="0.3">
      <c r="B48" s="84"/>
      <c r="C48" s="75">
        <f>E10*F10-E10</f>
        <v>9105.5</v>
      </c>
      <c r="D48" s="75">
        <f>E11</f>
        <v>12000</v>
      </c>
      <c r="E48" s="85">
        <f>C48+D48</f>
        <v>21105.5</v>
      </c>
      <c r="I48" s="26" t="s">
        <v>32</v>
      </c>
      <c r="J48" s="51"/>
      <c r="K48" s="22"/>
      <c r="L48" s="52">
        <f>L47-L47*J31</f>
        <v>160852.02083333331</v>
      </c>
    </row>
    <row r="49" spans="9:12" x14ac:dyDescent="0.3">
      <c r="I49" s="26"/>
      <c r="J49" s="51"/>
      <c r="K49" s="22"/>
      <c r="L49" s="52"/>
    </row>
    <row r="50" spans="9:12" x14ac:dyDescent="0.3">
      <c r="I50" s="26" t="s">
        <v>13</v>
      </c>
      <c r="J50" s="51"/>
      <c r="K50" s="22"/>
      <c r="L50" s="24">
        <f>L48/C4</f>
        <v>0.10723468055555554</v>
      </c>
    </row>
    <row r="52" spans="9:12" x14ac:dyDescent="0.3">
      <c r="I52" s="84" t="s">
        <v>54</v>
      </c>
      <c r="J52" s="79" t="s">
        <v>55</v>
      </c>
      <c r="K52" s="79" t="s">
        <v>56</v>
      </c>
      <c r="L52" s="79" t="s">
        <v>57</v>
      </c>
    </row>
    <row r="53" spans="9:12" x14ac:dyDescent="0.3">
      <c r="I53" s="84"/>
      <c r="J53" s="75">
        <f>L10*F10-L10</f>
        <v>9105.5</v>
      </c>
      <c r="K53" s="75">
        <f>L11</f>
        <v>9000</v>
      </c>
      <c r="L53" s="85">
        <f>J53+K53</f>
        <v>18105.5</v>
      </c>
    </row>
  </sheetData>
  <mergeCells count="11">
    <mergeCell ref="M8:N8"/>
    <mergeCell ref="B6:E6"/>
    <mergeCell ref="I7:L7"/>
    <mergeCell ref="I6:L6"/>
    <mergeCell ref="B19:C19"/>
    <mergeCell ref="I25:J25"/>
    <mergeCell ref="B30:E30"/>
    <mergeCell ref="I36:L36"/>
    <mergeCell ref="B22:E22"/>
    <mergeCell ref="I28:L28"/>
    <mergeCell ref="B7:E7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topLeftCell="A10" workbookViewId="0">
      <selection activeCell="B4" sqref="B4"/>
    </sheetView>
  </sheetViews>
  <sheetFormatPr defaultRowHeight="14.4" x14ac:dyDescent="0.3"/>
  <cols>
    <col min="1" max="1" width="17.44140625" bestFit="1" customWidth="1"/>
    <col min="2" max="2" width="14.33203125" bestFit="1" customWidth="1"/>
  </cols>
  <sheetData>
    <row r="2" spans="1:2" x14ac:dyDescent="0.3">
      <c r="A2" t="s">
        <v>26</v>
      </c>
    </row>
    <row r="3" spans="1:2" x14ac:dyDescent="0.3">
      <c r="A3" t="s">
        <v>22</v>
      </c>
      <c r="B3" s="1">
        <v>7540</v>
      </c>
    </row>
    <row r="4" spans="1:2" x14ac:dyDescent="0.3">
      <c r="A4" t="s">
        <v>23</v>
      </c>
      <c r="B4" s="1">
        <v>6000</v>
      </c>
    </row>
    <row r="5" spans="1:2" x14ac:dyDescent="0.3">
      <c r="A5" t="s">
        <v>24</v>
      </c>
      <c r="B5" s="1">
        <v>1500</v>
      </c>
    </row>
    <row r="6" spans="1:2" x14ac:dyDescent="0.3">
      <c r="A6" t="s">
        <v>25</v>
      </c>
      <c r="B6" s="1">
        <v>1500</v>
      </c>
    </row>
    <row r="7" spans="1:2" x14ac:dyDescent="0.3">
      <c r="A7" t="s">
        <v>34</v>
      </c>
      <c r="B7" s="1">
        <f>(B6+B5+B4+B3)*20%</f>
        <v>3308</v>
      </c>
    </row>
    <row r="8" spans="1:2" x14ac:dyDescent="0.3">
      <c r="A8" t="s">
        <v>27</v>
      </c>
      <c r="B8" s="1">
        <f>SUM(B3:B7)</f>
        <v>19848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52"/>
  <sheetViews>
    <sheetView topLeftCell="C4" workbookViewId="0">
      <selection activeCell="J52" sqref="J52"/>
    </sheetView>
  </sheetViews>
  <sheetFormatPr defaultColWidth="9.109375" defaultRowHeight="14.4" x14ac:dyDescent="0.3"/>
  <cols>
    <col min="1" max="1" width="15.33203125" style="6" bestFit="1" customWidth="1"/>
    <col min="2" max="2" width="35" style="9" customWidth="1"/>
    <col min="3" max="3" width="26.5546875" style="6" bestFit="1" customWidth="1"/>
    <col min="4" max="4" width="14.44140625" style="6" bestFit="1" customWidth="1"/>
    <col min="5" max="5" width="19.5546875" style="6" bestFit="1" customWidth="1"/>
    <col min="6" max="6" width="7.33203125" style="106" customWidth="1"/>
    <col min="7" max="7" width="2.109375" style="6" customWidth="1"/>
    <col min="8" max="8" width="30.33203125" style="6" customWidth="1"/>
    <col min="9" max="9" width="17.5546875" style="6" customWidth="1"/>
    <col min="10" max="10" width="16.109375" style="6" bestFit="1" customWidth="1"/>
    <col min="11" max="11" width="18.5546875" style="6" customWidth="1"/>
    <col min="12" max="12" width="15" style="106" customWidth="1"/>
    <col min="13" max="13" width="15.88671875" style="106" customWidth="1"/>
    <col min="14" max="14" width="14.33203125" style="6" bestFit="1" customWidth="1"/>
    <col min="15" max="15" width="9.109375" style="6"/>
    <col min="16" max="16" width="15.33203125" style="19" bestFit="1" customWidth="1"/>
    <col min="17" max="16384" width="9.109375" style="6"/>
  </cols>
  <sheetData>
    <row r="1" spans="2:16" x14ac:dyDescent="0.3">
      <c r="N1" s="19"/>
    </row>
    <row r="2" spans="2:16" ht="23.4" x14ac:dyDescent="0.3">
      <c r="B2" s="10" t="s">
        <v>38</v>
      </c>
    </row>
    <row r="3" spans="2:16" x14ac:dyDescent="0.3">
      <c r="B3" s="6"/>
    </row>
    <row r="4" spans="2:16" s="11" customFormat="1" ht="15.6" x14ac:dyDescent="0.3">
      <c r="B4" s="17" t="s">
        <v>0</v>
      </c>
      <c r="C4" s="20">
        <v>2630000</v>
      </c>
      <c r="F4" s="121"/>
      <c r="L4" s="121"/>
      <c r="M4" s="121"/>
      <c r="P4" s="18"/>
    </row>
    <row r="6" spans="2:16" ht="28.5" customHeight="1" x14ac:dyDescent="0.3">
      <c r="B6" s="124" t="s">
        <v>44</v>
      </c>
      <c r="C6" s="125"/>
      <c r="D6" s="125"/>
      <c r="E6" s="126"/>
      <c r="F6" s="7"/>
      <c r="G6" s="7"/>
      <c r="H6" s="147" t="s">
        <v>52</v>
      </c>
      <c r="I6" s="147"/>
      <c r="J6" s="147"/>
      <c r="K6" s="147"/>
      <c r="P6" s="6"/>
    </row>
    <row r="7" spans="2:16" ht="27" customHeight="1" x14ac:dyDescent="0.3">
      <c r="B7" s="133" t="s">
        <v>1</v>
      </c>
      <c r="C7" s="134"/>
      <c r="D7" s="134"/>
      <c r="E7" s="135"/>
      <c r="H7" s="148" t="s">
        <v>53</v>
      </c>
      <c r="I7" s="148"/>
      <c r="J7" s="148"/>
      <c r="K7" s="148"/>
      <c r="P7" s="6"/>
    </row>
    <row r="8" spans="2:16" ht="30.6" customHeight="1" x14ac:dyDescent="0.3">
      <c r="B8" s="40"/>
      <c r="C8" s="22"/>
      <c r="D8" s="22"/>
      <c r="E8" s="22"/>
      <c r="H8" s="22"/>
      <c r="I8" s="22"/>
      <c r="J8" s="22"/>
      <c r="K8" s="67"/>
      <c r="L8" s="153" t="s">
        <v>82</v>
      </c>
      <c r="M8" s="154"/>
      <c r="P8" s="6"/>
    </row>
    <row r="9" spans="2:16" ht="28.8" x14ac:dyDescent="0.3">
      <c r="B9" s="50" t="s">
        <v>14</v>
      </c>
      <c r="C9" s="22" t="s">
        <v>65</v>
      </c>
      <c r="D9" s="22" t="s">
        <v>64</v>
      </c>
      <c r="E9" s="22" t="s">
        <v>15</v>
      </c>
      <c r="F9" s="106" t="s">
        <v>69</v>
      </c>
      <c r="H9" s="26" t="s">
        <v>14</v>
      </c>
      <c r="I9" s="53" t="s">
        <v>65</v>
      </c>
      <c r="J9" s="21" t="s">
        <v>64</v>
      </c>
      <c r="K9" s="54" t="s">
        <v>15</v>
      </c>
      <c r="L9" s="106" t="s">
        <v>79</v>
      </c>
      <c r="M9" s="151">
        <v>9</v>
      </c>
      <c r="P9" s="6"/>
    </row>
    <row r="10" spans="2:16" x14ac:dyDescent="0.3">
      <c r="B10" s="123" t="s">
        <v>28</v>
      </c>
      <c r="C10" s="116">
        <f>30000/12</f>
        <v>2500</v>
      </c>
      <c r="D10" s="117">
        <v>12</v>
      </c>
      <c r="E10" s="116">
        <f>C10*D10</f>
        <v>30000</v>
      </c>
      <c r="F10" s="106">
        <v>1.5</v>
      </c>
      <c r="H10" s="112" t="s">
        <v>45</v>
      </c>
      <c r="I10" s="118">
        <f>C10</f>
        <v>2500</v>
      </c>
      <c r="J10" s="119">
        <v>12</v>
      </c>
      <c r="K10" s="120">
        <f>I10*J10</f>
        <v>30000</v>
      </c>
      <c r="L10" s="106">
        <f>M9/M10</f>
        <v>0.75</v>
      </c>
      <c r="M10" s="106">
        <v>12</v>
      </c>
      <c r="P10" s="6"/>
    </row>
    <row r="11" spans="2:16" x14ac:dyDescent="0.3">
      <c r="B11" s="123" t="s">
        <v>66</v>
      </c>
      <c r="C11" s="116">
        <v>1500</v>
      </c>
      <c r="D11" s="117">
        <v>12</v>
      </c>
      <c r="E11" s="116">
        <f>C11*D11</f>
        <v>18000</v>
      </c>
      <c r="H11" s="112" t="s">
        <v>66</v>
      </c>
      <c r="I11" s="118">
        <f>C11</f>
        <v>1500</v>
      </c>
      <c r="J11" s="119">
        <v>6</v>
      </c>
      <c r="K11" s="120">
        <f t="shared" ref="K11:K27" si="0">I11*J11</f>
        <v>9000</v>
      </c>
      <c r="L11" s="101" t="s">
        <v>80</v>
      </c>
      <c r="M11" s="101" t="s">
        <v>81</v>
      </c>
      <c r="P11" s="6"/>
    </row>
    <row r="12" spans="2:16" ht="28.8" x14ac:dyDescent="0.3">
      <c r="B12" s="123" t="s">
        <v>68</v>
      </c>
      <c r="C12" s="116">
        <f>(E10*F10+E11)/D12</f>
        <v>5250</v>
      </c>
      <c r="D12" s="117">
        <v>12</v>
      </c>
      <c r="E12" s="116">
        <f>C12*D12</f>
        <v>63000</v>
      </c>
      <c r="H12" s="112" t="s">
        <v>68</v>
      </c>
      <c r="I12" s="118">
        <f>(K10*F10+K11)/J12</f>
        <v>9000</v>
      </c>
      <c r="J12" s="119">
        <v>6</v>
      </c>
      <c r="K12" s="120">
        <f t="shared" si="0"/>
        <v>54000</v>
      </c>
      <c r="L12" s="85">
        <f>M12/J12</f>
        <v>7875</v>
      </c>
      <c r="M12" s="85">
        <f>E12*L10</f>
        <v>47250</v>
      </c>
      <c r="P12" s="6"/>
    </row>
    <row r="13" spans="2:16" x14ac:dyDescent="0.3">
      <c r="B13" s="50" t="s">
        <v>2</v>
      </c>
      <c r="C13" s="67">
        <f>C4*1%</f>
        <v>26300</v>
      </c>
      <c r="D13" s="68">
        <v>1</v>
      </c>
      <c r="E13" s="67">
        <f t="shared" ref="E13" si="1">C13*D13</f>
        <v>26300</v>
      </c>
      <c r="H13" s="26" t="s">
        <v>2</v>
      </c>
      <c r="I13" s="51">
        <f>C4*0.01</f>
        <v>26300</v>
      </c>
      <c r="J13" s="22">
        <v>1</v>
      </c>
      <c r="K13" s="52">
        <f t="shared" si="0"/>
        <v>26300</v>
      </c>
      <c r="P13" s="6"/>
    </row>
    <row r="14" spans="2:16" x14ac:dyDescent="0.3">
      <c r="B14" s="50" t="s">
        <v>29</v>
      </c>
      <c r="C14" s="67">
        <v>5000</v>
      </c>
      <c r="D14" s="68">
        <v>1</v>
      </c>
      <c r="E14" s="67">
        <f>C14*D14</f>
        <v>5000</v>
      </c>
      <c r="H14" s="26" t="s">
        <v>46</v>
      </c>
      <c r="I14" s="55">
        <f>I10</f>
        <v>2500</v>
      </c>
      <c r="J14" s="22">
        <v>1</v>
      </c>
      <c r="K14" s="52">
        <f t="shared" si="0"/>
        <v>2500</v>
      </c>
    </row>
    <row r="15" spans="2:16" x14ac:dyDescent="0.3">
      <c r="B15" s="50" t="s">
        <v>3</v>
      </c>
      <c r="C15" s="67">
        <f>'S 55 Service LIst'!B8</f>
        <v>25771.200000000001</v>
      </c>
      <c r="D15" s="68">
        <v>1</v>
      </c>
      <c r="E15" s="67">
        <f>C15*D15</f>
        <v>25771.200000000001</v>
      </c>
      <c r="H15" s="83" t="s">
        <v>47</v>
      </c>
      <c r="I15" s="81">
        <v>59000</v>
      </c>
      <c r="J15" s="82">
        <v>2</v>
      </c>
      <c r="K15" s="52">
        <f t="shared" si="0"/>
        <v>118000</v>
      </c>
    </row>
    <row r="16" spans="2:16" x14ac:dyDescent="0.3">
      <c r="B16" s="50" t="s">
        <v>4</v>
      </c>
      <c r="C16" s="67">
        <v>0</v>
      </c>
      <c r="D16" s="68">
        <v>1</v>
      </c>
      <c r="E16" s="67">
        <f t="shared" ref="E16:E20" si="2">C16*D16</f>
        <v>0</v>
      </c>
      <c r="H16" s="83" t="s">
        <v>50</v>
      </c>
      <c r="I16" s="81">
        <f>C4*0.002</f>
        <v>5260</v>
      </c>
      <c r="J16" s="82">
        <v>2</v>
      </c>
      <c r="K16" s="52">
        <f t="shared" si="0"/>
        <v>10520</v>
      </c>
    </row>
    <row r="17" spans="2:16" x14ac:dyDescent="0.3">
      <c r="B17" s="50" t="s">
        <v>7</v>
      </c>
      <c r="C17" s="67">
        <v>4000</v>
      </c>
      <c r="D17" s="68">
        <v>1</v>
      </c>
      <c r="E17" s="67">
        <f>C17*D17</f>
        <v>4000</v>
      </c>
      <c r="H17" s="26"/>
      <c r="I17" s="51"/>
      <c r="J17" s="22"/>
      <c r="K17" s="52"/>
    </row>
    <row r="18" spans="2:16" x14ac:dyDescent="0.3">
      <c r="B18" s="50"/>
      <c r="C18" s="67"/>
      <c r="D18" s="68"/>
      <c r="E18" s="67"/>
      <c r="H18" s="26" t="s">
        <v>29</v>
      </c>
      <c r="I18" s="51">
        <v>5000</v>
      </c>
      <c r="J18" s="22">
        <v>1</v>
      </c>
      <c r="K18" s="52">
        <f t="shared" si="0"/>
        <v>5000</v>
      </c>
    </row>
    <row r="19" spans="2:16" x14ac:dyDescent="0.3">
      <c r="B19" s="127" t="s">
        <v>16</v>
      </c>
      <c r="C19" s="128"/>
      <c r="D19" s="68" t="s">
        <v>17</v>
      </c>
      <c r="E19" s="75" t="s">
        <v>15</v>
      </c>
      <c r="H19" s="26" t="s">
        <v>3</v>
      </c>
      <c r="I19" s="51">
        <f>C15</f>
        <v>25771.200000000001</v>
      </c>
      <c r="J19" s="22">
        <v>1</v>
      </c>
      <c r="K19" s="52">
        <f t="shared" si="0"/>
        <v>25771.200000000001</v>
      </c>
    </row>
    <row r="20" spans="2:16" s="11" customFormat="1" ht="15.6" x14ac:dyDescent="0.3">
      <c r="B20" s="50" t="s">
        <v>5</v>
      </c>
      <c r="C20" s="67">
        <v>0</v>
      </c>
      <c r="D20" s="68">
        <v>12</v>
      </c>
      <c r="E20" s="67">
        <f t="shared" si="2"/>
        <v>0</v>
      </c>
      <c r="F20" s="121"/>
      <c r="H20" s="26" t="s">
        <v>4</v>
      </c>
      <c r="I20" s="51"/>
      <c r="J20" s="22">
        <v>1</v>
      </c>
      <c r="K20" s="52">
        <f t="shared" si="0"/>
        <v>0</v>
      </c>
      <c r="L20" s="121"/>
      <c r="M20" s="121"/>
      <c r="P20" s="18"/>
    </row>
    <row r="21" spans="2:16" x14ac:dyDescent="0.3">
      <c r="B21" s="50" t="s">
        <v>6</v>
      </c>
      <c r="C21" s="67">
        <v>0</v>
      </c>
      <c r="D21" s="68">
        <v>12</v>
      </c>
      <c r="E21" s="67">
        <f>C21*D21</f>
        <v>0</v>
      </c>
      <c r="H21" s="26" t="s">
        <v>7</v>
      </c>
      <c r="I21" s="51">
        <v>4000</v>
      </c>
      <c r="J21" s="22">
        <v>1</v>
      </c>
      <c r="K21" s="52">
        <f t="shared" si="0"/>
        <v>4000</v>
      </c>
    </row>
    <row r="22" spans="2:16" s="11" customFormat="1" ht="15.6" x14ac:dyDescent="0.3">
      <c r="B22" s="138"/>
      <c r="C22" s="139"/>
      <c r="D22" s="139"/>
      <c r="E22" s="140"/>
      <c r="F22" s="121"/>
      <c r="H22" s="47" t="s">
        <v>48</v>
      </c>
      <c r="I22" s="55"/>
      <c r="J22" s="22"/>
      <c r="K22" s="52">
        <f t="shared" si="0"/>
        <v>0</v>
      </c>
      <c r="L22" s="121"/>
      <c r="M22" s="121"/>
      <c r="P22" s="18"/>
    </row>
    <row r="23" spans="2:16" s="11" customFormat="1" ht="15.6" x14ac:dyDescent="0.3">
      <c r="B23" s="22" t="s">
        <v>21</v>
      </c>
      <c r="C23" s="71">
        <v>0.2</v>
      </c>
      <c r="D23" s="28"/>
      <c r="E23" s="28"/>
      <c r="F23" s="121"/>
      <c r="H23" s="47" t="s">
        <v>49</v>
      </c>
      <c r="I23" s="55"/>
      <c r="J23" s="22"/>
      <c r="K23" s="52"/>
      <c r="L23" s="121"/>
      <c r="M23" s="121"/>
      <c r="P23" s="18"/>
    </row>
    <row r="24" spans="2:16" s="11" customFormat="1" ht="15.6" x14ac:dyDescent="0.3">
      <c r="B24" s="50" t="s">
        <v>30</v>
      </c>
      <c r="C24" s="71">
        <v>0.05</v>
      </c>
      <c r="D24" s="22"/>
      <c r="E24" s="22"/>
      <c r="F24" s="121"/>
      <c r="H24" s="26"/>
      <c r="I24" s="51"/>
      <c r="J24" s="22"/>
      <c r="K24" s="52"/>
      <c r="L24" s="121"/>
      <c r="M24" s="121"/>
      <c r="P24" s="18"/>
    </row>
    <row r="25" spans="2:16" s="12" customFormat="1" ht="18" x14ac:dyDescent="0.3">
      <c r="B25" s="50"/>
      <c r="C25" s="67"/>
      <c r="D25" s="22"/>
      <c r="E25" s="67"/>
      <c r="F25" s="122"/>
      <c r="H25" s="136" t="s">
        <v>16</v>
      </c>
      <c r="I25" s="137"/>
      <c r="J25" s="68" t="s">
        <v>17</v>
      </c>
      <c r="K25" s="52"/>
      <c r="L25" s="122"/>
      <c r="M25" s="122"/>
      <c r="P25" s="76"/>
    </row>
    <row r="26" spans="2:16" ht="15.6" x14ac:dyDescent="0.3">
      <c r="B26" s="40" t="s">
        <v>35</v>
      </c>
      <c r="C26" s="72"/>
      <c r="D26" s="28"/>
      <c r="E26" s="72">
        <f>SUM(E12:E25)</f>
        <v>124071.2</v>
      </c>
      <c r="H26" s="25" t="s">
        <v>5</v>
      </c>
      <c r="I26" s="56"/>
      <c r="J26" s="28">
        <v>12</v>
      </c>
      <c r="K26" s="52">
        <f t="shared" si="0"/>
        <v>0</v>
      </c>
    </row>
    <row r="27" spans="2:16" x14ac:dyDescent="0.3">
      <c r="B27" s="50"/>
      <c r="C27" s="22"/>
      <c r="D27" s="22"/>
      <c r="E27" s="22"/>
      <c r="H27" s="26" t="s">
        <v>6</v>
      </c>
      <c r="I27" s="51"/>
      <c r="J27" s="22">
        <v>12</v>
      </c>
      <c r="K27" s="52">
        <f t="shared" si="0"/>
        <v>0</v>
      </c>
    </row>
    <row r="28" spans="2:16" ht="15.6" x14ac:dyDescent="0.3">
      <c r="B28" s="50"/>
      <c r="C28" s="22"/>
      <c r="D28" s="22"/>
      <c r="E28" s="22"/>
      <c r="H28" s="124"/>
      <c r="I28" s="125"/>
      <c r="J28" s="125"/>
      <c r="K28" s="126"/>
    </row>
    <row r="29" spans="2:16" s="11" customFormat="1" ht="15.6" x14ac:dyDescent="0.3">
      <c r="B29" s="124" t="s">
        <v>8</v>
      </c>
      <c r="C29" s="125"/>
      <c r="D29" s="125"/>
      <c r="E29" s="126"/>
      <c r="F29" s="121"/>
      <c r="H29" s="25" t="s">
        <v>21</v>
      </c>
      <c r="I29" s="60">
        <v>0.2</v>
      </c>
      <c r="J29" s="28"/>
      <c r="K29" s="57"/>
      <c r="L29" s="121"/>
      <c r="M29" s="121"/>
      <c r="P29" s="18"/>
    </row>
    <row r="30" spans="2:16" s="11" customFormat="1" ht="22.5" customHeight="1" x14ac:dyDescent="0.3">
      <c r="B30" s="40"/>
      <c r="C30" s="22"/>
      <c r="D30" s="22"/>
      <c r="E30" s="22"/>
      <c r="F30" s="121"/>
      <c r="H30" s="25" t="s">
        <v>30</v>
      </c>
      <c r="I30" s="61">
        <v>0.05</v>
      </c>
      <c r="J30" s="62"/>
      <c r="K30" s="63"/>
      <c r="L30" s="121"/>
      <c r="M30" s="121"/>
      <c r="P30" s="18"/>
    </row>
    <row r="31" spans="2:16" s="11" customFormat="1" ht="15.6" x14ac:dyDescent="0.3">
      <c r="B31" s="40" t="s">
        <v>18</v>
      </c>
      <c r="C31" s="22" t="s">
        <v>33</v>
      </c>
      <c r="D31" s="22" t="s">
        <v>19</v>
      </c>
      <c r="E31" s="22" t="s">
        <v>15</v>
      </c>
      <c r="F31" s="121"/>
      <c r="H31" s="26"/>
      <c r="I31" s="51"/>
      <c r="J31" s="22"/>
      <c r="K31" s="52"/>
      <c r="L31" s="121"/>
      <c r="M31" s="121"/>
      <c r="P31" s="18"/>
    </row>
    <row r="32" spans="2:16" s="11" customFormat="1" ht="15.6" x14ac:dyDescent="0.3">
      <c r="B32" s="50" t="s">
        <v>9</v>
      </c>
      <c r="C32" s="67">
        <v>3750</v>
      </c>
      <c r="D32" s="22">
        <v>60</v>
      </c>
      <c r="E32" s="67">
        <f>C32*D32</f>
        <v>225000</v>
      </c>
      <c r="F32" s="121"/>
      <c r="H32" s="26" t="s">
        <v>35</v>
      </c>
      <c r="I32" s="51"/>
      <c r="J32" s="22"/>
      <c r="K32" s="52">
        <f>SUM(K12:K31)</f>
        <v>246091.2</v>
      </c>
      <c r="L32" s="121"/>
      <c r="M32" s="121"/>
      <c r="P32" s="18"/>
    </row>
    <row r="33" spans="2:16" s="11" customFormat="1" ht="15.6" x14ac:dyDescent="0.3">
      <c r="B33" s="50" t="s">
        <v>10</v>
      </c>
      <c r="C33" s="67">
        <v>3300</v>
      </c>
      <c r="D33" s="22">
        <v>30</v>
      </c>
      <c r="E33" s="67">
        <f t="shared" ref="E33" si="3">C33*D33</f>
        <v>99000</v>
      </c>
      <c r="F33" s="121"/>
      <c r="H33" s="26"/>
      <c r="I33" s="51"/>
      <c r="J33" s="22"/>
      <c r="K33" s="52"/>
      <c r="L33" s="121"/>
      <c r="M33" s="121"/>
      <c r="P33" s="18"/>
    </row>
    <row r="34" spans="2:16" s="11" customFormat="1" ht="15.6" x14ac:dyDescent="0.3">
      <c r="B34" s="50"/>
      <c r="C34" s="67"/>
      <c r="D34" s="22"/>
      <c r="E34" s="67"/>
      <c r="F34" s="121"/>
      <c r="H34" s="25"/>
      <c r="I34" s="56"/>
      <c r="J34" s="28"/>
      <c r="K34" s="57"/>
      <c r="L34" s="121"/>
      <c r="M34" s="121"/>
      <c r="P34" s="18"/>
    </row>
    <row r="35" spans="2:16" s="11" customFormat="1" ht="15.6" x14ac:dyDescent="0.3">
      <c r="B35" s="50"/>
      <c r="C35" s="22"/>
      <c r="D35" s="22"/>
      <c r="E35" s="22"/>
      <c r="F35" s="121"/>
      <c r="H35" s="124" t="s">
        <v>8</v>
      </c>
      <c r="I35" s="125"/>
      <c r="J35" s="125"/>
      <c r="K35" s="126"/>
      <c r="L35" s="121"/>
      <c r="M35" s="121"/>
      <c r="P35" s="18"/>
    </row>
    <row r="36" spans="2:16" ht="24.75" customHeight="1" x14ac:dyDescent="0.3">
      <c r="B36" s="50"/>
      <c r="C36" s="22"/>
      <c r="D36" s="22"/>
      <c r="E36" s="22"/>
      <c r="H36" s="25"/>
      <c r="I36" s="56"/>
      <c r="J36" s="28"/>
      <c r="K36" s="57"/>
    </row>
    <row r="37" spans="2:16" ht="31.2" x14ac:dyDescent="0.3">
      <c r="B37" s="40" t="s">
        <v>36</v>
      </c>
      <c r="C37" s="28"/>
      <c r="D37" s="28"/>
      <c r="E37" s="72">
        <f>SUM(E32:E36)</f>
        <v>324000</v>
      </c>
      <c r="H37" s="25" t="s">
        <v>18</v>
      </c>
      <c r="I37" s="64" t="s">
        <v>33</v>
      </c>
      <c r="J37" s="65" t="s">
        <v>19</v>
      </c>
      <c r="K37" s="66" t="s">
        <v>15</v>
      </c>
    </row>
    <row r="38" spans="2:16" ht="15.6" x14ac:dyDescent="0.3">
      <c r="B38" s="40" t="s">
        <v>11</v>
      </c>
      <c r="C38" s="28"/>
      <c r="D38" s="28"/>
      <c r="E38" s="72">
        <f>E37*C23</f>
        <v>64800</v>
      </c>
      <c r="H38" s="25" t="s">
        <v>9</v>
      </c>
      <c r="I38" s="56">
        <v>3750</v>
      </c>
      <c r="J38" s="28">
        <v>60</v>
      </c>
      <c r="K38" s="57">
        <f>I38*J38</f>
        <v>225000</v>
      </c>
    </row>
    <row r="39" spans="2:16" ht="15.6" x14ac:dyDescent="0.3">
      <c r="B39" s="40" t="s">
        <v>12</v>
      </c>
      <c r="C39" s="28"/>
      <c r="D39" s="28"/>
      <c r="E39" s="72">
        <f>E26</f>
        <v>124071.2</v>
      </c>
      <c r="H39" s="25" t="s">
        <v>10</v>
      </c>
      <c r="I39" s="59">
        <v>3750</v>
      </c>
      <c r="J39" s="28">
        <v>60</v>
      </c>
      <c r="K39" s="57">
        <f>I39*J39</f>
        <v>225000</v>
      </c>
    </row>
    <row r="40" spans="2:16" ht="31.2" x14ac:dyDescent="0.3">
      <c r="B40" s="40" t="s">
        <v>31</v>
      </c>
      <c r="C40" s="28"/>
      <c r="D40" s="28"/>
      <c r="E40" s="72">
        <f>E37-E38-E39</f>
        <v>135128.79999999999</v>
      </c>
      <c r="H40" s="40"/>
      <c r="I40" s="56"/>
      <c r="J40" s="28"/>
      <c r="K40" s="57"/>
    </row>
    <row r="41" spans="2:16" ht="31.2" x14ac:dyDescent="0.3">
      <c r="B41" s="40" t="s">
        <v>32</v>
      </c>
      <c r="C41" s="28"/>
      <c r="D41" s="28"/>
      <c r="E41" s="72">
        <f>E40-E40*C24</f>
        <v>128372.35999999999</v>
      </c>
      <c r="H41" s="50"/>
      <c r="I41" s="51"/>
      <c r="J41" s="22"/>
      <c r="K41" s="52"/>
    </row>
    <row r="42" spans="2:16" x14ac:dyDescent="0.3">
      <c r="B42" s="50"/>
      <c r="C42" s="22"/>
      <c r="D42" s="22"/>
      <c r="E42" s="22"/>
      <c r="H42" s="50"/>
      <c r="I42" s="51"/>
      <c r="J42" s="22"/>
      <c r="K42" s="52"/>
    </row>
    <row r="43" spans="2:16" ht="15.6" x14ac:dyDescent="0.3">
      <c r="B43" s="25" t="s">
        <v>13</v>
      </c>
      <c r="C43" s="23"/>
      <c r="D43" s="23"/>
      <c r="E43" s="73">
        <f>E41/C4</f>
        <v>4.8810783269961973E-2</v>
      </c>
      <c r="H43" s="26" t="s">
        <v>36</v>
      </c>
      <c r="I43" s="51"/>
      <c r="J43" s="22"/>
      <c r="K43" s="52">
        <f>K38+K39</f>
        <v>450000</v>
      </c>
    </row>
    <row r="44" spans="2:16" ht="15.6" x14ac:dyDescent="0.3">
      <c r="B44" s="8"/>
      <c r="H44" s="26" t="s">
        <v>11</v>
      </c>
      <c r="I44" s="51"/>
      <c r="J44" s="22"/>
      <c r="K44" s="52">
        <f>K38*I29</f>
        <v>45000</v>
      </c>
    </row>
    <row r="45" spans="2:16" x14ac:dyDescent="0.3">
      <c r="H45" s="26" t="s">
        <v>12</v>
      </c>
      <c r="I45" s="51"/>
      <c r="J45" s="22"/>
      <c r="K45" s="52">
        <f>K32</f>
        <v>246091.2</v>
      </c>
    </row>
    <row r="46" spans="2:16" ht="28.8" x14ac:dyDescent="0.3">
      <c r="B46" s="84" t="s">
        <v>54</v>
      </c>
      <c r="C46" s="79" t="s">
        <v>55</v>
      </c>
      <c r="D46" s="79" t="s">
        <v>56</v>
      </c>
      <c r="E46" s="79" t="s">
        <v>57</v>
      </c>
      <c r="H46" s="26" t="s">
        <v>31</v>
      </c>
      <c r="I46" s="51"/>
      <c r="J46" s="22"/>
      <c r="K46" s="52">
        <f>K43-K44-K45</f>
        <v>158908.79999999999</v>
      </c>
    </row>
    <row r="47" spans="2:16" ht="28.8" x14ac:dyDescent="0.3">
      <c r="B47" s="84"/>
      <c r="C47" s="75">
        <f>E10*F10-E10</f>
        <v>15000</v>
      </c>
      <c r="D47" s="75">
        <f>E11</f>
        <v>18000</v>
      </c>
      <c r="E47" s="85">
        <f>C47+D47</f>
        <v>33000</v>
      </c>
      <c r="H47" s="26" t="s">
        <v>32</v>
      </c>
      <c r="I47" s="51"/>
      <c r="J47" s="22"/>
      <c r="K47" s="52">
        <f>K46-K46*I30</f>
        <v>150963.35999999999</v>
      </c>
    </row>
    <row r="48" spans="2:16" x14ac:dyDescent="0.3">
      <c r="H48" s="26"/>
      <c r="I48" s="51"/>
      <c r="J48" s="22"/>
      <c r="K48" s="52"/>
    </row>
    <row r="49" spans="8:11" x14ac:dyDescent="0.3">
      <c r="H49" s="26" t="s">
        <v>13</v>
      </c>
      <c r="I49" s="51"/>
      <c r="J49" s="22"/>
      <c r="K49" s="24">
        <f>K47/C4</f>
        <v>5.7400517110266155E-2</v>
      </c>
    </row>
    <row r="51" spans="8:11" x14ac:dyDescent="0.3">
      <c r="H51" s="84" t="s">
        <v>54</v>
      </c>
      <c r="I51" s="79" t="s">
        <v>55</v>
      </c>
      <c r="J51" s="79" t="s">
        <v>56</v>
      </c>
      <c r="K51" s="79" t="s">
        <v>57</v>
      </c>
    </row>
    <row r="52" spans="8:11" x14ac:dyDescent="0.3">
      <c r="H52" s="84"/>
      <c r="I52" s="75">
        <f>K10*F10-K10</f>
        <v>15000</v>
      </c>
      <c r="J52" s="75">
        <f>K11</f>
        <v>9000</v>
      </c>
      <c r="K52" s="85">
        <f>I52+J52</f>
        <v>24000</v>
      </c>
    </row>
  </sheetData>
  <mergeCells count="11">
    <mergeCell ref="L8:M8"/>
    <mergeCell ref="B6:E6"/>
    <mergeCell ref="H6:K6"/>
    <mergeCell ref="H7:K7"/>
    <mergeCell ref="B19:C19"/>
    <mergeCell ref="H25:I25"/>
    <mergeCell ref="B29:E29"/>
    <mergeCell ref="H35:K35"/>
    <mergeCell ref="B22:E22"/>
    <mergeCell ref="H28:K28"/>
    <mergeCell ref="B7:E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4" sqref="B4"/>
    </sheetView>
  </sheetViews>
  <sheetFormatPr defaultRowHeight="14.4" x14ac:dyDescent="0.3"/>
  <cols>
    <col min="1" max="1" width="17.44140625" bestFit="1" customWidth="1"/>
    <col min="2" max="2" width="14.33203125" bestFit="1" customWidth="1"/>
  </cols>
  <sheetData>
    <row r="2" spans="1:2" x14ac:dyDescent="0.3">
      <c r="A2" t="s">
        <v>26</v>
      </c>
    </row>
    <row r="3" spans="1:2" x14ac:dyDescent="0.3">
      <c r="A3" t="s">
        <v>22</v>
      </c>
      <c r="B3" s="1">
        <v>12476</v>
      </c>
    </row>
    <row r="4" spans="1:2" x14ac:dyDescent="0.3">
      <c r="A4" t="s">
        <v>23</v>
      </c>
      <c r="B4" s="1">
        <v>6000</v>
      </c>
    </row>
    <row r="5" spans="1:2" x14ac:dyDescent="0.3">
      <c r="A5" t="s">
        <v>24</v>
      </c>
      <c r="B5" s="1">
        <v>1500</v>
      </c>
    </row>
    <row r="6" spans="1:2" x14ac:dyDescent="0.3">
      <c r="A6" t="s">
        <v>25</v>
      </c>
      <c r="B6" s="1">
        <v>1500</v>
      </c>
    </row>
    <row r="7" spans="1:2" x14ac:dyDescent="0.3">
      <c r="A7" t="s">
        <v>34</v>
      </c>
      <c r="B7" s="1">
        <f>(B6+B5+B4+B3)*20%</f>
        <v>4295.2</v>
      </c>
    </row>
    <row r="8" spans="1:2" x14ac:dyDescent="0.3">
      <c r="A8" t="s">
        <v>27</v>
      </c>
      <c r="B8" s="1">
        <f>SUM(B3:B7)</f>
        <v>25771.200000000001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P51"/>
  <sheetViews>
    <sheetView topLeftCell="C1" workbookViewId="0">
      <selection activeCell="L8" sqref="L8:M8"/>
    </sheetView>
  </sheetViews>
  <sheetFormatPr defaultColWidth="9.109375" defaultRowHeight="14.4" x14ac:dyDescent="0.3"/>
  <cols>
    <col min="1" max="1" width="4.33203125" style="6" customWidth="1"/>
    <col min="2" max="2" width="35" style="9" customWidth="1"/>
    <col min="3" max="3" width="26.5546875" style="6" bestFit="1" customWidth="1"/>
    <col min="4" max="4" width="14.6640625" style="6" customWidth="1"/>
    <col min="5" max="5" width="19.5546875" style="6" bestFit="1" customWidth="1"/>
    <col min="6" max="6" width="8.6640625" style="106" customWidth="1"/>
    <col min="7" max="7" width="8.21875" style="6" customWidth="1"/>
    <col min="8" max="8" width="29.44140625" style="6" customWidth="1"/>
    <col min="9" max="9" width="18.109375" style="6" customWidth="1"/>
    <col min="10" max="10" width="16.109375" style="6" bestFit="1" customWidth="1"/>
    <col min="11" max="11" width="14.33203125" style="6" customWidth="1"/>
    <col min="12" max="12" width="16.33203125" style="152" customWidth="1"/>
    <col min="13" max="13" width="14.6640625" style="106" customWidth="1"/>
    <col min="14" max="14" width="14.33203125" style="6" bestFit="1" customWidth="1"/>
    <col min="15" max="15" width="9.109375" style="6"/>
    <col min="16" max="16" width="15.33203125" style="19" bestFit="1" customWidth="1"/>
    <col min="17" max="16384" width="9.109375" style="6"/>
  </cols>
  <sheetData>
    <row r="1" spans="2:16" x14ac:dyDescent="0.3">
      <c r="N1" s="19"/>
    </row>
    <row r="2" spans="2:16" ht="23.4" x14ac:dyDescent="0.3">
      <c r="B2" s="10" t="s">
        <v>39</v>
      </c>
    </row>
    <row r="3" spans="2:16" x14ac:dyDescent="0.3">
      <c r="B3" s="6"/>
    </row>
    <row r="4" spans="2:16" s="11" customFormat="1" ht="15.6" x14ac:dyDescent="0.3">
      <c r="B4" s="11" t="s">
        <v>0</v>
      </c>
      <c r="C4" s="18">
        <v>950000</v>
      </c>
      <c r="F4" s="121"/>
      <c r="L4" s="155"/>
      <c r="M4" s="121"/>
      <c r="P4" s="18"/>
    </row>
    <row r="6" spans="2:16" ht="15.6" x14ac:dyDescent="0.3">
      <c r="B6" s="124" t="s">
        <v>44</v>
      </c>
      <c r="C6" s="125"/>
      <c r="D6" s="125"/>
      <c r="E6" s="126"/>
      <c r="H6" s="144" t="s">
        <v>52</v>
      </c>
      <c r="I6" s="145"/>
      <c r="J6" s="145"/>
      <c r="K6" s="146"/>
      <c r="P6" s="6"/>
    </row>
    <row r="7" spans="2:16" ht="17.25" customHeight="1" x14ac:dyDescent="0.3">
      <c r="B7" s="133" t="s">
        <v>1</v>
      </c>
      <c r="C7" s="134"/>
      <c r="D7" s="134"/>
      <c r="E7" s="135"/>
      <c r="H7" s="141" t="s">
        <v>53</v>
      </c>
      <c r="I7" s="142"/>
      <c r="J7" s="142"/>
      <c r="K7" s="143"/>
      <c r="P7" s="6"/>
    </row>
    <row r="8" spans="2:16" ht="31.2" customHeight="1" x14ac:dyDescent="0.3">
      <c r="B8" s="40"/>
      <c r="C8" s="22"/>
      <c r="D8" s="22"/>
      <c r="E8" s="22"/>
      <c r="H8" s="22"/>
      <c r="I8" s="22"/>
      <c r="J8" s="22"/>
      <c r="K8" s="67"/>
      <c r="L8" s="153" t="s">
        <v>82</v>
      </c>
      <c r="M8" s="154"/>
      <c r="P8" s="6"/>
    </row>
    <row r="9" spans="2:16" ht="28.8" x14ac:dyDescent="0.3">
      <c r="B9" s="50" t="s">
        <v>14</v>
      </c>
      <c r="C9" s="22" t="s">
        <v>65</v>
      </c>
      <c r="D9" s="22" t="s">
        <v>64</v>
      </c>
      <c r="E9" s="22" t="s">
        <v>15</v>
      </c>
      <c r="F9" s="106" t="s">
        <v>67</v>
      </c>
      <c r="H9" s="26" t="s">
        <v>14</v>
      </c>
      <c r="I9" s="53" t="s">
        <v>65</v>
      </c>
      <c r="J9" s="21" t="s">
        <v>64</v>
      </c>
      <c r="K9" s="54" t="s">
        <v>15</v>
      </c>
      <c r="L9" s="152" t="s">
        <v>79</v>
      </c>
      <c r="M9" s="151">
        <v>9</v>
      </c>
      <c r="P9" s="6"/>
    </row>
    <row r="10" spans="2:16" x14ac:dyDescent="0.3">
      <c r="B10" s="123" t="s">
        <v>28</v>
      </c>
      <c r="C10" s="116">
        <f>25000/12</f>
        <v>2083.3333333333335</v>
      </c>
      <c r="D10" s="117">
        <v>12</v>
      </c>
      <c r="E10" s="116">
        <f>C10*D10</f>
        <v>25000</v>
      </c>
      <c r="F10" s="106">
        <v>1.5</v>
      </c>
      <c r="H10" s="112" t="s">
        <v>45</v>
      </c>
      <c r="I10" s="118">
        <f>C10</f>
        <v>2083.3333333333335</v>
      </c>
      <c r="J10" s="119">
        <v>12</v>
      </c>
      <c r="K10" s="120">
        <f>I10*J10</f>
        <v>25000</v>
      </c>
      <c r="L10" s="152">
        <f>M9/M10</f>
        <v>0.75</v>
      </c>
      <c r="M10" s="106">
        <v>12</v>
      </c>
      <c r="P10" s="6"/>
    </row>
    <row r="11" spans="2:16" x14ac:dyDescent="0.3">
      <c r="B11" s="123" t="s">
        <v>66</v>
      </c>
      <c r="C11" s="116">
        <v>1500</v>
      </c>
      <c r="D11" s="117">
        <v>12</v>
      </c>
      <c r="E11" s="116">
        <f>C11*D11</f>
        <v>18000</v>
      </c>
      <c r="H11" s="112" t="s">
        <v>66</v>
      </c>
      <c r="I11" s="118">
        <f>C11</f>
        <v>1500</v>
      </c>
      <c r="J11" s="119">
        <v>6</v>
      </c>
      <c r="K11" s="120">
        <f t="shared" ref="K11:K26" si="0">I11*J11</f>
        <v>9000</v>
      </c>
      <c r="L11" s="84" t="s">
        <v>80</v>
      </c>
      <c r="M11" s="101" t="s">
        <v>81</v>
      </c>
      <c r="P11" s="6"/>
    </row>
    <row r="12" spans="2:16" ht="28.8" x14ac:dyDescent="0.3">
      <c r="B12" s="123" t="s">
        <v>68</v>
      </c>
      <c r="C12" s="116">
        <f>(E10*F10+E11)/12</f>
        <v>4625</v>
      </c>
      <c r="D12" s="117">
        <v>12</v>
      </c>
      <c r="E12" s="116">
        <f>C12*D12</f>
        <v>55500</v>
      </c>
      <c r="H12" s="112" t="s">
        <v>68</v>
      </c>
      <c r="I12" s="118">
        <f>(K10*F10+K11)/J12</f>
        <v>7750</v>
      </c>
      <c r="J12" s="119">
        <v>6</v>
      </c>
      <c r="K12" s="120">
        <f t="shared" si="0"/>
        <v>46500</v>
      </c>
      <c r="L12" s="158">
        <f>M12/J12</f>
        <v>6937.5</v>
      </c>
      <c r="M12" s="85">
        <f>E12*L10</f>
        <v>41625</v>
      </c>
      <c r="P12" s="6"/>
    </row>
    <row r="13" spans="2:16" x14ac:dyDescent="0.3">
      <c r="B13" s="50" t="s">
        <v>2</v>
      </c>
      <c r="C13" s="67">
        <f>C4*1%</f>
        <v>9500</v>
      </c>
      <c r="D13" s="68">
        <v>1</v>
      </c>
      <c r="E13" s="67">
        <f t="shared" ref="E13" si="1">C13*D13</f>
        <v>9500</v>
      </c>
      <c r="H13" s="26" t="s">
        <v>2</v>
      </c>
      <c r="I13" s="51">
        <f>C4*0.01</f>
        <v>9500</v>
      </c>
      <c r="J13" s="22">
        <v>1</v>
      </c>
      <c r="K13" s="52">
        <f t="shared" si="0"/>
        <v>9500</v>
      </c>
      <c r="P13" s="6"/>
    </row>
    <row r="14" spans="2:16" x14ac:dyDescent="0.3">
      <c r="B14" s="50" t="s">
        <v>29</v>
      </c>
      <c r="C14" s="67">
        <v>5000</v>
      </c>
      <c r="D14" s="68">
        <v>1</v>
      </c>
      <c r="E14" s="67">
        <f>C14*D14</f>
        <v>5000</v>
      </c>
      <c r="H14" s="47" t="s">
        <v>51</v>
      </c>
      <c r="I14" s="55">
        <f>I10</f>
        <v>2083.3333333333335</v>
      </c>
      <c r="J14" s="22">
        <v>1</v>
      </c>
      <c r="K14" s="52">
        <f t="shared" si="0"/>
        <v>2083.3333333333335</v>
      </c>
    </row>
    <row r="15" spans="2:16" x14ac:dyDescent="0.3">
      <c r="B15" s="50" t="s">
        <v>3</v>
      </c>
      <c r="C15" s="67">
        <f>'S05 Service List'!B8</f>
        <v>21751.200000000001</v>
      </c>
      <c r="D15" s="68">
        <v>1</v>
      </c>
      <c r="E15" s="67">
        <f>C15*D15</f>
        <v>21751.200000000001</v>
      </c>
      <c r="H15" s="26" t="s">
        <v>47</v>
      </c>
      <c r="I15" s="81">
        <v>59000</v>
      </c>
      <c r="J15" s="82">
        <v>2</v>
      </c>
      <c r="K15" s="52">
        <f t="shared" si="0"/>
        <v>118000</v>
      </c>
    </row>
    <row r="16" spans="2:16" x14ac:dyDescent="0.3">
      <c r="B16" s="50" t="s">
        <v>4</v>
      </c>
      <c r="C16" s="67">
        <v>0</v>
      </c>
      <c r="D16" s="68">
        <v>1</v>
      </c>
      <c r="E16" s="67">
        <f t="shared" ref="E16:E20" si="2">C16*D16</f>
        <v>0</v>
      </c>
      <c r="H16" s="26" t="s">
        <v>50</v>
      </c>
      <c r="I16" s="81">
        <f>C4*0.002</f>
        <v>1900</v>
      </c>
      <c r="J16" s="82">
        <v>2</v>
      </c>
      <c r="K16" s="52">
        <f t="shared" si="0"/>
        <v>3800</v>
      </c>
    </row>
    <row r="17" spans="2:16" x14ac:dyDescent="0.3">
      <c r="B17" s="50" t="s">
        <v>7</v>
      </c>
      <c r="C17" s="67">
        <v>0</v>
      </c>
      <c r="D17" s="68">
        <v>1</v>
      </c>
      <c r="E17" s="67">
        <f>C17*D17</f>
        <v>0</v>
      </c>
      <c r="H17" s="26"/>
      <c r="I17" s="51"/>
      <c r="J17" s="22"/>
      <c r="K17" s="52"/>
    </row>
    <row r="18" spans="2:16" x14ac:dyDescent="0.3">
      <c r="B18" s="50"/>
      <c r="C18" s="67"/>
      <c r="D18" s="68"/>
      <c r="E18" s="67"/>
      <c r="H18" s="26" t="s">
        <v>29</v>
      </c>
      <c r="I18" s="51">
        <v>5000</v>
      </c>
      <c r="J18" s="22">
        <v>1</v>
      </c>
      <c r="K18" s="52">
        <f t="shared" si="0"/>
        <v>5000</v>
      </c>
    </row>
    <row r="19" spans="2:16" x14ac:dyDescent="0.3">
      <c r="B19" s="127" t="s">
        <v>16</v>
      </c>
      <c r="C19" s="128"/>
      <c r="D19" s="68" t="s">
        <v>17</v>
      </c>
      <c r="E19" s="75" t="s">
        <v>15</v>
      </c>
      <c r="H19" s="26" t="s">
        <v>3</v>
      </c>
      <c r="I19" s="51">
        <f>C15</f>
        <v>21751.200000000001</v>
      </c>
      <c r="J19" s="22">
        <v>1</v>
      </c>
      <c r="K19" s="52">
        <f t="shared" si="0"/>
        <v>21751.200000000001</v>
      </c>
    </row>
    <row r="20" spans="2:16" s="11" customFormat="1" ht="15.6" x14ac:dyDescent="0.3">
      <c r="B20" s="50" t="s">
        <v>5</v>
      </c>
      <c r="C20" s="67">
        <v>0</v>
      </c>
      <c r="D20" s="68">
        <v>12</v>
      </c>
      <c r="E20" s="67">
        <f t="shared" si="2"/>
        <v>0</v>
      </c>
      <c r="F20" s="121"/>
      <c r="H20" s="26" t="s">
        <v>4</v>
      </c>
      <c r="I20" s="51"/>
      <c r="J20" s="22">
        <v>1</v>
      </c>
      <c r="K20" s="52"/>
      <c r="L20" s="155"/>
      <c r="M20" s="121"/>
      <c r="P20" s="18"/>
    </row>
    <row r="21" spans="2:16" x14ac:dyDescent="0.3">
      <c r="B21" s="50" t="s">
        <v>6</v>
      </c>
      <c r="C21" s="67">
        <v>0</v>
      </c>
      <c r="D21" s="68">
        <v>12</v>
      </c>
      <c r="E21" s="67">
        <f>C21*D21</f>
        <v>0</v>
      </c>
      <c r="H21" s="26" t="s">
        <v>7</v>
      </c>
      <c r="I21" s="51">
        <v>4000</v>
      </c>
      <c r="J21" s="22">
        <v>1</v>
      </c>
      <c r="K21" s="52">
        <f t="shared" si="0"/>
        <v>4000</v>
      </c>
    </row>
    <row r="22" spans="2:16" s="11" customFormat="1" ht="15.6" x14ac:dyDescent="0.3">
      <c r="B22" s="138"/>
      <c r="C22" s="139"/>
      <c r="D22" s="139"/>
      <c r="E22" s="140"/>
      <c r="F22" s="121"/>
      <c r="H22" s="47" t="s">
        <v>48</v>
      </c>
      <c r="I22" s="55"/>
      <c r="J22" s="22"/>
      <c r="K22" s="52">
        <f t="shared" si="0"/>
        <v>0</v>
      </c>
      <c r="L22" s="155"/>
      <c r="M22" s="121"/>
      <c r="P22" s="18"/>
    </row>
    <row r="23" spans="2:16" s="11" customFormat="1" ht="15.6" x14ac:dyDescent="0.3">
      <c r="B23" s="22" t="s">
        <v>21</v>
      </c>
      <c r="C23" s="71">
        <v>0.2</v>
      </c>
      <c r="D23" s="28"/>
      <c r="E23" s="28"/>
      <c r="F23" s="121"/>
      <c r="H23" s="47" t="s">
        <v>49</v>
      </c>
      <c r="I23" s="55"/>
      <c r="J23" s="22"/>
      <c r="K23" s="52">
        <f t="shared" si="0"/>
        <v>0</v>
      </c>
      <c r="L23" s="155"/>
      <c r="M23" s="121"/>
      <c r="P23" s="18"/>
    </row>
    <row r="24" spans="2:16" s="11" customFormat="1" ht="15.6" x14ac:dyDescent="0.3">
      <c r="B24" s="50" t="s">
        <v>30</v>
      </c>
      <c r="C24" s="71">
        <v>0.05</v>
      </c>
      <c r="D24" s="22"/>
      <c r="E24" s="22"/>
      <c r="F24" s="121"/>
      <c r="H24" s="136" t="s">
        <v>16</v>
      </c>
      <c r="I24" s="137"/>
      <c r="J24" s="68" t="s">
        <v>17</v>
      </c>
      <c r="K24" s="77"/>
      <c r="L24" s="155"/>
      <c r="M24" s="121"/>
      <c r="P24" s="18"/>
    </row>
    <row r="25" spans="2:16" s="12" customFormat="1" ht="18" x14ac:dyDescent="0.3">
      <c r="B25" s="50"/>
      <c r="C25" s="67"/>
      <c r="D25" s="22"/>
      <c r="E25" s="67"/>
      <c r="F25" s="122"/>
      <c r="H25" s="25" t="s">
        <v>5</v>
      </c>
      <c r="I25" s="56"/>
      <c r="J25" s="28">
        <v>12</v>
      </c>
      <c r="K25" s="52">
        <f t="shared" si="0"/>
        <v>0</v>
      </c>
      <c r="L25" s="156"/>
      <c r="M25" s="122"/>
      <c r="P25" s="76"/>
    </row>
    <row r="26" spans="2:16" ht="15.6" x14ac:dyDescent="0.3">
      <c r="B26" s="40" t="s">
        <v>35</v>
      </c>
      <c r="C26" s="72"/>
      <c r="D26" s="28"/>
      <c r="E26" s="72">
        <f>SUM(E12:E25)</f>
        <v>91751.2</v>
      </c>
      <c r="H26" s="26" t="s">
        <v>6</v>
      </c>
      <c r="I26" s="51"/>
      <c r="J26" s="22">
        <v>12</v>
      </c>
      <c r="K26" s="52">
        <f t="shared" si="0"/>
        <v>0</v>
      </c>
    </row>
    <row r="27" spans="2:16" ht="15.6" x14ac:dyDescent="0.3">
      <c r="B27" s="50"/>
      <c r="C27" s="22"/>
      <c r="D27" s="22"/>
      <c r="E27" s="22"/>
      <c r="H27" s="124"/>
      <c r="I27" s="125"/>
      <c r="J27" s="125"/>
      <c r="K27" s="126"/>
    </row>
    <row r="28" spans="2:16" ht="15.6" x14ac:dyDescent="0.3">
      <c r="B28" s="50"/>
      <c r="C28" s="22"/>
      <c r="D28" s="22"/>
      <c r="E28" s="22"/>
      <c r="H28" s="25" t="s">
        <v>21</v>
      </c>
      <c r="I28" s="60">
        <v>0.2</v>
      </c>
      <c r="J28" s="28"/>
      <c r="K28" s="57"/>
    </row>
    <row r="29" spans="2:16" s="11" customFormat="1" ht="31.2" x14ac:dyDescent="0.3">
      <c r="B29" s="124" t="s">
        <v>8</v>
      </c>
      <c r="C29" s="125"/>
      <c r="D29" s="125"/>
      <c r="E29" s="126"/>
      <c r="F29" s="121"/>
      <c r="H29" s="25" t="s">
        <v>30</v>
      </c>
      <c r="I29" s="61">
        <v>0.05</v>
      </c>
      <c r="J29" s="62"/>
      <c r="K29" s="63"/>
      <c r="L29" s="155"/>
      <c r="M29" s="121"/>
      <c r="P29" s="18"/>
    </row>
    <row r="30" spans="2:16" s="11" customFormat="1" ht="15.6" x14ac:dyDescent="0.3">
      <c r="B30" s="40"/>
      <c r="C30" s="22"/>
      <c r="D30" s="22"/>
      <c r="E30" s="22"/>
      <c r="F30" s="121"/>
      <c r="H30" s="26"/>
      <c r="I30" s="51"/>
      <c r="J30" s="22"/>
      <c r="K30" s="52"/>
      <c r="L30" s="155"/>
      <c r="M30" s="121"/>
      <c r="P30" s="18"/>
    </row>
    <row r="31" spans="2:16" s="11" customFormat="1" ht="15.6" x14ac:dyDescent="0.3">
      <c r="B31" s="40" t="s">
        <v>18</v>
      </c>
      <c r="C31" s="22" t="s">
        <v>33</v>
      </c>
      <c r="D31" s="22" t="s">
        <v>19</v>
      </c>
      <c r="E31" s="22" t="s">
        <v>15</v>
      </c>
      <c r="F31" s="121"/>
      <c r="H31" s="26" t="s">
        <v>35</v>
      </c>
      <c r="I31" s="51"/>
      <c r="J31" s="22"/>
      <c r="K31" s="52">
        <f>SUM(K12:K30)</f>
        <v>210634.53333333335</v>
      </c>
      <c r="L31" s="155"/>
      <c r="M31" s="121"/>
      <c r="P31" s="18"/>
    </row>
    <row r="32" spans="2:16" s="11" customFormat="1" ht="15.6" x14ac:dyDescent="0.3">
      <c r="B32" s="50" t="s">
        <v>9</v>
      </c>
      <c r="C32" s="67">
        <v>4000</v>
      </c>
      <c r="D32" s="22">
        <v>60</v>
      </c>
      <c r="E32" s="67">
        <f>C32*D32</f>
        <v>240000</v>
      </c>
      <c r="F32" s="121"/>
      <c r="H32" s="26"/>
      <c r="I32" s="51"/>
      <c r="J32" s="22"/>
      <c r="K32" s="52"/>
      <c r="L32" s="155"/>
      <c r="M32" s="121"/>
      <c r="P32" s="18"/>
    </row>
    <row r="33" spans="2:16" s="11" customFormat="1" ht="15.6" customHeight="1" x14ac:dyDescent="0.3">
      <c r="B33" s="50" t="s">
        <v>10</v>
      </c>
      <c r="C33" s="67">
        <v>3500</v>
      </c>
      <c r="D33" s="22">
        <v>30</v>
      </c>
      <c r="E33" s="67">
        <f t="shared" ref="E33" si="3">C33*D33</f>
        <v>105000</v>
      </c>
      <c r="F33" s="121"/>
      <c r="H33" s="25"/>
      <c r="I33" s="56"/>
      <c r="J33" s="28"/>
      <c r="K33" s="57"/>
      <c r="L33" s="155"/>
      <c r="M33" s="121"/>
      <c r="P33" s="18"/>
    </row>
    <row r="34" spans="2:16" s="11" customFormat="1" ht="15.6" customHeight="1" x14ac:dyDescent="0.3">
      <c r="B34" s="50"/>
      <c r="C34" s="67"/>
      <c r="D34" s="22"/>
      <c r="E34" s="67"/>
      <c r="F34" s="121"/>
      <c r="H34" s="124" t="s">
        <v>8</v>
      </c>
      <c r="I34" s="125"/>
      <c r="J34" s="125"/>
      <c r="K34" s="126"/>
      <c r="L34" s="155"/>
      <c r="M34" s="121"/>
      <c r="P34" s="18"/>
    </row>
    <row r="35" spans="2:16" s="11" customFormat="1" ht="26.25" customHeight="1" x14ac:dyDescent="0.3">
      <c r="B35" s="50"/>
      <c r="C35" s="22"/>
      <c r="D35" s="22"/>
      <c r="E35" s="22"/>
      <c r="F35" s="121"/>
      <c r="H35" s="25"/>
      <c r="I35" s="56"/>
      <c r="J35" s="28"/>
      <c r="K35" s="57"/>
      <c r="L35" s="155"/>
      <c r="M35" s="121"/>
      <c r="P35" s="18"/>
    </row>
    <row r="36" spans="2:16" ht="15.6" customHeight="1" x14ac:dyDescent="0.3">
      <c r="B36" s="50"/>
      <c r="C36" s="22"/>
      <c r="D36" s="22"/>
      <c r="E36" s="22"/>
      <c r="H36" s="25" t="s">
        <v>18</v>
      </c>
      <c r="I36" s="64" t="s">
        <v>33</v>
      </c>
      <c r="J36" s="65" t="s">
        <v>19</v>
      </c>
      <c r="K36" s="66" t="s">
        <v>15</v>
      </c>
    </row>
    <row r="37" spans="2:16" ht="15.6" customHeight="1" x14ac:dyDescent="0.3">
      <c r="B37" s="40" t="s">
        <v>36</v>
      </c>
      <c r="C37" s="28"/>
      <c r="D37" s="28"/>
      <c r="E37" s="72">
        <f>SUM(E32:E36)</f>
        <v>345000</v>
      </c>
      <c r="H37" s="25" t="s">
        <v>9</v>
      </c>
      <c r="I37" s="56">
        <v>4000</v>
      </c>
      <c r="J37" s="28">
        <v>60</v>
      </c>
      <c r="K37" s="57">
        <f>I37*J37</f>
        <v>240000</v>
      </c>
    </row>
    <row r="38" spans="2:16" ht="15.6" customHeight="1" x14ac:dyDescent="0.3">
      <c r="B38" s="40" t="s">
        <v>11</v>
      </c>
      <c r="C38" s="28"/>
      <c r="D38" s="28"/>
      <c r="E38" s="72">
        <f>E37*C23</f>
        <v>69000</v>
      </c>
      <c r="H38" s="25" t="s">
        <v>10</v>
      </c>
      <c r="I38" s="59">
        <v>4000</v>
      </c>
      <c r="J38" s="28">
        <v>60</v>
      </c>
      <c r="K38" s="57">
        <f>I38*J38</f>
        <v>240000</v>
      </c>
    </row>
    <row r="39" spans="2:16" ht="15.6" customHeight="1" x14ac:dyDescent="0.3">
      <c r="B39" s="40" t="s">
        <v>12</v>
      </c>
      <c r="C39" s="28"/>
      <c r="D39" s="28"/>
      <c r="E39" s="72">
        <f>E26</f>
        <v>91751.2</v>
      </c>
      <c r="H39" s="40"/>
      <c r="I39" s="56"/>
      <c r="J39" s="28"/>
      <c r="K39" s="57"/>
    </row>
    <row r="40" spans="2:16" ht="15.6" customHeight="1" x14ac:dyDescent="0.3">
      <c r="B40" s="40" t="s">
        <v>31</v>
      </c>
      <c r="C40" s="28"/>
      <c r="D40" s="28"/>
      <c r="E40" s="72">
        <f>E37-E38-E39</f>
        <v>184248.8</v>
      </c>
      <c r="H40" s="50"/>
      <c r="I40" s="51"/>
      <c r="J40" s="22"/>
      <c r="K40" s="52"/>
    </row>
    <row r="41" spans="2:16" ht="15.6" customHeight="1" x14ac:dyDescent="0.3">
      <c r="B41" s="40" t="s">
        <v>32</v>
      </c>
      <c r="C41" s="28"/>
      <c r="D41" s="28"/>
      <c r="E41" s="72">
        <f>E40-E40*C24</f>
        <v>175036.36</v>
      </c>
      <c r="H41" s="50"/>
      <c r="I41" s="51"/>
      <c r="J41" s="22"/>
      <c r="K41" s="52"/>
    </row>
    <row r="42" spans="2:16" ht="15.6" customHeight="1" x14ac:dyDescent="0.3">
      <c r="B42" s="50"/>
      <c r="C42" s="22"/>
      <c r="D42" s="22"/>
      <c r="E42" s="22"/>
      <c r="H42" s="26" t="s">
        <v>36</v>
      </c>
      <c r="I42" s="51"/>
      <c r="J42" s="22"/>
      <c r="K42" s="52">
        <f>K37+K38</f>
        <v>480000</v>
      </c>
    </row>
    <row r="43" spans="2:16" ht="15.6" customHeight="1" x14ac:dyDescent="0.3">
      <c r="B43" s="25" t="s">
        <v>13</v>
      </c>
      <c r="C43" s="23"/>
      <c r="D43" s="23"/>
      <c r="E43" s="73">
        <f>E41/C4</f>
        <v>0.18424879999999999</v>
      </c>
      <c r="H43" s="26" t="s">
        <v>11</v>
      </c>
      <c r="I43" s="51"/>
      <c r="J43" s="22"/>
      <c r="K43" s="52">
        <f>K37*I28</f>
        <v>48000</v>
      </c>
    </row>
    <row r="44" spans="2:16" ht="15.6" customHeight="1" x14ac:dyDescent="0.3">
      <c r="B44" s="8"/>
      <c r="H44" s="26" t="s">
        <v>12</v>
      </c>
      <c r="I44" s="51"/>
      <c r="J44" s="22"/>
      <c r="K44" s="52">
        <f>K31</f>
        <v>210634.53333333335</v>
      </c>
    </row>
    <row r="45" spans="2:16" ht="28.8" x14ac:dyDescent="0.3">
      <c r="H45" s="26" t="s">
        <v>31</v>
      </c>
      <c r="I45" s="51"/>
      <c r="J45" s="22"/>
      <c r="K45" s="52">
        <f>K42-K43-K44</f>
        <v>221365.46666666665</v>
      </c>
    </row>
    <row r="46" spans="2:16" ht="28.8" x14ac:dyDescent="0.3">
      <c r="B46" s="84" t="s">
        <v>54</v>
      </c>
      <c r="C46" s="79" t="s">
        <v>55</v>
      </c>
      <c r="D46" s="79" t="s">
        <v>56</v>
      </c>
      <c r="E46" s="79" t="s">
        <v>57</v>
      </c>
      <c r="H46" s="26" t="s">
        <v>32</v>
      </c>
      <c r="I46" s="51"/>
      <c r="J46" s="22"/>
      <c r="K46" s="52">
        <f>K45-K45*I29</f>
        <v>210297.1933333333</v>
      </c>
    </row>
    <row r="47" spans="2:16" x14ac:dyDescent="0.3">
      <c r="B47" s="84"/>
      <c r="C47" s="75">
        <f>E10*F10-E10</f>
        <v>12500</v>
      </c>
      <c r="D47" s="75">
        <f>E11</f>
        <v>18000</v>
      </c>
      <c r="E47" s="85">
        <f>C47+D47</f>
        <v>30500</v>
      </c>
      <c r="H47" s="26"/>
      <c r="I47" s="51"/>
      <c r="J47" s="22"/>
      <c r="K47" s="52"/>
    </row>
    <row r="48" spans="2:16" x14ac:dyDescent="0.3">
      <c r="H48" s="26" t="s">
        <v>13</v>
      </c>
      <c r="I48" s="51"/>
      <c r="J48" s="22"/>
      <c r="K48" s="24">
        <f>K46/C4</f>
        <v>0.22136546666666662</v>
      </c>
    </row>
    <row r="50" spans="8:11" x14ac:dyDescent="0.3">
      <c r="H50" s="84" t="s">
        <v>54</v>
      </c>
      <c r="I50" s="79" t="s">
        <v>55</v>
      </c>
      <c r="J50" s="79" t="s">
        <v>56</v>
      </c>
      <c r="K50" s="79" t="s">
        <v>57</v>
      </c>
    </row>
    <row r="51" spans="8:11" x14ac:dyDescent="0.3">
      <c r="H51" s="84"/>
      <c r="I51" s="75">
        <f>K10*F10-K10</f>
        <v>12500</v>
      </c>
      <c r="J51" s="75">
        <f>K11</f>
        <v>9000</v>
      </c>
      <c r="K51" s="85">
        <f>I51+J51</f>
        <v>21500</v>
      </c>
    </row>
  </sheetData>
  <mergeCells count="11">
    <mergeCell ref="L8:M8"/>
    <mergeCell ref="B6:E6"/>
    <mergeCell ref="H6:K6"/>
    <mergeCell ref="H7:K7"/>
    <mergeCell ref="H24:I24"/>
    <mergeCell ref="B19:C19"/>
    <mergeCell ref="B29:E29"/>
    <mergeCell ref="H34:K34"/>
    <mergeCell ref="B22:E22"/>
    <mergeCell ref="H27:K27"/>
    <mergeCell ref="B7:E7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sqref="A1:XFD1048576"/>
    </sheetView>
  </sheetViews>
  <sheetFormatPr defaultRowHeight="14.4" x14ac:dyDescent="0.3"/>
  <cols>
    <col min="1" max="1" width="17.44140625" bestFit="1" customWidth="1"/>
    <col min="2" max="2" width="14.33203125" bestFit="1" customWidth="1"/>
  </cols>
  <sheetData>
    <row r="2" spans="1:2" x14ac:dyDescent="0.3">
      <c r="A2" t="s">
        <v>26</v>
      </c>
    </row>
    <row r="3" spans="1:2" x14ac:dyDescent="0.3">
      <c r="A3" t="s">
        <v>22</v>
      </c>
      <c r="B3" s="1">
        <v>9126</v>
      </c>
    </row>
    <row r="4" spans="1:2" x14ac:dyDescent="0.3">
      <c r="A4" t="s">
        <v>23</v>
      </c>
      <c r="B4" s="1">
        <v>6000</v>
      </c>
    </row>
    <row r="5" spans="1:2" x14ac:dyDescent="0.3">
      <c r="A5" t="s">
        <v>24</v>
      </c>
      <c r="B5" s="1">
        <v>1500</v>
      </c>
    </row>
    <row r="6" spans="1:2" x14ac:dyDescent="0.3">
      <c r="A6" t="s">
        <v>25</v>
      </c>
      <c r="B6" s="1">
        <v>1500</v>
      </c>
    </row>
    <row r="7" spans="1:2" x14ac:dyDescent="0.3">
      <c r="A7" t="s">
        <v>34</v>
      </c>
      <c r="B7" s="1">
        <f>(B6+B5+B4+B3)*20%</f>
        <v>3625.2000000000003</v>
      </c>
    </row>
    <row r="8" spans="1:2" x14ac:dyDescent="0.3">
      <c r="A8" t="s">
        <v>27</v>
      </c>
      <c r="B8" s="1">
        <f>SUM(B3:B7)</f>
        <v>21751.200000000001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opLeftCell="A10" zoomScale="80" zoomScaleNormal="80" workbookViewId="0">
      <selection activeCell="G16" sqref="G16"/>
    </sheetView>
  </sheetViews>
  <sheetFormatPr defaultRowHeight="14.4" x14ac:dyDescent="0.3"/>
  <cols>
    <col min="2" max="2" width="37.88671875" style="6" customWidth="1"/>
    <col min="3" max="3" width="23.33203125" style="6" customWidth="1"/>
    <col min="4" max="4" width="23.109375" style="6" customWidth="1"/>
    <col min="5" max="5" width="27.33203125" style="6" customWidth="1"/>
    <col min="6" max="6" width="23" style="6" customWidth="1"/>
    <col min="7" max="7" width="28.6640625" style="6" customWidth="1"/>
    <col min="8" max="8" width="21.5546875" customWidth="1"/>
  </cols>
  <sheetData>
    <row r="1" spans="1:14" ht="42" customHeight="1" x14ac:dyDescent="0.3">
      <c r="A1" s="2"/>
      <c r="B1" s="149" t="s">
        <v>44</v>
      </c>
      <c r="C1" s="149"/>
      <c r="D1" s="149"/>
      <c r="E1" s="149"/>
      <c r="F1" s="149"/>
      <c r="G1" s="149"/>
      <c r="H1" s="2"/>
    </row>
    <row r="2" spans="1:14" ht="15.6" x14ac:dyDescent="0.3">
      <c r="A2" s="2"/>
      <c r="B2" s="28"/>
      <c r="C2" s="29" t="s">
        <v>40</v>
      </c>
      <c r="D2" s="29" t="s">
        <v>37</v>
      </c>
      <c r="E2" s="29" t="s">
        <v>38</v>
      </c>
      <c r="F2" s="29" t="s">
        <v>41</v>
      </c>
      <c r="G2" s="29" t="s">
        <v>42</v>
      </c>
      <c r="H2" s="2"/>
    </row>
    <row r="3" spans="1:14" ht="15.6" x14ac:dyDescent="0.3">
      <c r="A3" s="2"/>
      <c r="B3" s="30" t="s">
        <v>43</v>
      </c>
      <c r="C3" s="27">
        <f>'Arcadia 85'!C4</f>
        <v>6000000</v>
      </c>
      <c r="D3" s="27">
        <f>'Frauscher Demon'!C4</f>
        <v>1500000</v>
      </c>
      <c r="E3" s="27">
        <f>'SACS 55'!C4</f>
        <v>2630000</v>
      </c>
      <c r="F3" s="27">
        <f>'Manda S05'!C4</f>
        <v>950000</v>
      </c>
      <c r="G3" s="31">
        <f t="shared" ref="G3:G8" si="0">SUM(C3:F3)</f>
        <v>11080000</v>
      </c>
      <c r="H3" s="2"/>
    </row>
    <row r="4" spans="1:14" ht="15.6" x14ac:dyDescent="0.3">
      <c r="A4" s="2"/>
      <c r="B4" s="32" t="s">
        <v>36</v>
      </c>
      <c r="C4" s="27">
        <f>'Arcadia 85'!E37</f>
        <v>750000</v>
      </c>
      <c r="D4" s="27">
        <f>'Frauscher Demon'!E38</f>
        <v>277500</v>
      </c>
      <c r="E4" s="27">
        <f>'SACS 55'!E37</f>
        <v>324000</v>
      </c>
      <c r="F4" s="27">
        <f>'Manda S05'!E37</f>
        <v>345000</v>
      </c>
      <c r="G4" s="31">
        <f t="shared" si="0"/>
        <v>1696500</v>
      </c>
      <c r="H4" s="2"/>
      <c r="N4" s="1"/>
    </row>
    <row r="5" spans="1:14" ht="15.6" x14ac:dyDescent="0.3">
      <c r="A5" s="2"/>
      <c r="B5" s="32" t="s">
        <v>11</v>
      </c>
      <c r="C5" s="27">
        <f>'Arcadia 85'!E38</f>
        <v>150000</v>
      </c>
      <c r="D5" s="27">
        <f>'Frauscher Demon'!E39</f>
        <v>55500</v>
      </c>
      <c r="E5" s="27">
        <f>'SACS 55'!E38</f>
        <v>64800</v>
      </c>
      <c r="F5" s="27">
        <f>'Manda S05'!E38</f>
        <v>69000</v>
      </c>
      <c r="G5" s="31">
        <f t="shared" si="0"/>
        <v>339300</v>
      </c>
      <c r="H5" s="2"/>
      <c r="N5" s="1"/>
    </row>
    <row r="6" spans="1:14" ht="15.6" x14ac:dyDescent="0.3">
      <c r="A6" s="2"/>
      <c r="B6" s="32" t="s">
        <v>12</v>
      </c>
      <c r="C6" s="27">
        <f>'Arcadia 85'!E39</f>
        <v>274322.40000000002</v>
      </c>
      <c r="D6" s="27">
        <f>'Frauscher Demon'!E40</f>
        <v>83164.5</v>
      </c>
      <c r="E6" s="27">
        <f>'SACS 55'!E39</f>
        <v>124071.2</v>
      </c>
      <c r="F6" s="27">
        <f>'Manda S05'!E39</f>
        <v>91751.2</v>
      </c>
      <c r="G6" s="31">
        <f t="shared" si="0"/>
        <v>573309.30000000005</v>
      </c>
      <c r="H6" s="2"/>
      <c r="N6" s="1"/>
    </row>
    <row r="7" spans="1:14" ht="31.2" x14ac:dyDescent="0.3">
      <c r="A7" s="2"/>
      <c r="B7" s="32" t="s">
        <v>31</v>
      </c>
      <c r="C7" s="27">
        <f>'Arcadia 85'!E40</f>
        <v>325677.59999999998</v>
      </c>
      <c r="D7" s="27">
        <f>'Frauscher Demon'!E41</f>
        <v>138835.5</v>
      </c>
      <c r="E7" s="27">
        <f>'SACS 55'!E40</f>
        <v>135128.79999999999</v>
      </c>
      <c r="F7" s="27">
        <f>'Manda S05'!E40</f>
        <v>184248.8</v>
      </c>
      <c r="G7" s="31">
        <f t="shared" si="0"/>
        <v>783890.7</v>
      </c>
      <c r="H7" s="2"/>
      <c r="N7" s="1"/>
    </row>
    <row r="8" spans="1:14" ht="31.2" x14ac:dyDescent="0.3">
      <c r="A8" s="2"/>
      <c r="B8" s="32" t="s">
        <v>32</v>
      </c>
      <c r="C8" s="27">
        <f>'Arcadia 85'!E41</f>
        <v>309393.71999999997</v>
      </c>
      <c r="D8" s="27">
        <f>'Frauscher Demon'!E42</f>
        <v>131893.72500000001</v>
      </c>
      <c r="E8" s="27">
        <f>'SACS 55'!E41</f>
        <v>128372.35999999999</v>
      </c>
      <c r="F8" s="27">
        <f>'Manda S05'!E41</f>
        <v>175036.36</v>
      </c>
      <c r="G8" s="31">
        <f t="shared" si="0"/>
        <v>744696.16499999992</v>
      </c>
      <c r="H8" s="2"/>
      <c r="N8" s="1"/>
    </row>
    <row r="9" spans="1:14" ht="15.6" x14ac:dyDescent="0.3">
      <c r="A9" s="2"/>
      <c r="B9" s="32"/>
      <c r="C9" s="28"/>
      <c r="D9" s="28"/>
      <c r="E9" s="28"/>
      <c r="F9" s="28"/>
      <c r="G9" s="30"/>
      <c r="H9" s="2"/>
      <c r="N9" s="1"/>
    </row>
    <row r="10" spans="1:14" ht="15.6" x14ac:dyDescent="0.3">
      <c r="A10" s="2"/>
      <c r="B10" s="32" t="s">
        <v>13</v>
      </c>
      <c r="C10" s="37">
        <f>'Arcadia 85'!E43</f>
        <v>5.1565619999999993E-2</v>
      </c>
      <c r="D10" s="37">
        <f>'Frauscher Demon'!E44</f>
        <v>8.7929149999999998E-2</v>
      </c>
      <c r="E10" s="37">
        <f>'SACS 55'!E43</f>
        <v>4.8810783269961973E-2</v>
      </c>
      <c r="F10" s="37">
        <f>'Manda S05'!E43</f>
        <v>0.18424879999999999</v>
      </c>
      <c r="G10" s="39">
        <f>G8/G3</f>
        <v>6.7210845216606488E-2</v>
      </c>
      <c r="H10" s="33"/>
      <c r="N10" s="1"/>
    </row>
    <row r="11" spans="1:14" ht="15.6" x14ac:dyDescent="0.3">
      <c r="A11" s="2"/>
      <c r="B11" s="86"/>
      <c r="C11" s="87"/>
      <c r="D11" s="87"/>
      <c r="E11" s="87"/>
      <c r="F11" s="87"/>
      <c r="G11" s="88"/>
      <c r="H11" s="33"/>
      <c r="N11" s="1"/>
    </row>
    <row r="12" spans="1:14" s="93" customFormat="1" ht="15.6" x14ac:dyDescent="0.3">
      <c r="A12" s="89"/>
      <c r="B12" s="97" t="s">
        <v>72</v>
      </c>
      <c r="C12" s="90">
        <f>'Arcadia 85'!C47</f>
        <v>27500</v>
      </c>
      <c r="D12" s="90">
        <f>'Frauscher Demon'!C48</f>
        <v>9105.5</v>
      </c>
      <c r="E12" s="90">
        <f>'SACS 55'!C47</f>
        <v>15000</v>
      </c>
      <c r="F12" s="90">
        <f>'Manda S05'!C47</f>
        <v>12500</v>
      </c>
      <c r="G12" s="91">
        <f>SUM(C12:F12)</f>
        <v>64105.5</v>
      </c>
      <c r="H12" s="92"/>
    </row>
    <row r="13" spans="1:14" s="93" customFormat="1" ht="15.6" x14ac:dyDescent="0.3">
      <c r="A13" s="89"/>
      <c r="B13" s="98" t="s">
        <v>73</v>
      </c>
      <c r="C13" s="89">
        <f>'Arcadia 85'!D47</f>
        <v>36000</v>
      </c>
      <c r="D13" s="89">
        <f>'Frauscher Demon'!D48</f>
        <v>12000</v>
      </c>
      <c r="E13" s="89">
        <f>'SACS 55'!D47</f>
        <v>18000</v>
      </c>
      <c r="F13" s="89">
        <f>'Manda S05'!D47</f>
        <v>18000</v>
      </c>
      <c r="G13" s="89">
        <f>SUM(C13:F13)</f>
        <v>84000</v>
      </c>
      <c r="H13" s="89"/>
    </row>
    <row r="14" spans="1:14" ht="15.6" x14ac:dyDescent="0.3">
      <c r="A14" s="2"/>
      <c r="B14" s="11" t="s">
        <v>74</v>
      </c>
      <c r="C14" s="16">
        <f>'Arcadia 85'!E47</f>
        <v>63500</v>
      </c>
      <c r="D14" s="16">
        <f>'Frauscher Demon'!E48</f>
        <v>21105.5</v>
      </c>
      <c r="E14" s="16">
        <f>'SACS 55'!E47</f>
        <v>33000</v>
      </c>
      <c r="F14" s="16">
        <f>'Manda S05'!E47</f>
        <v>30500</v>
      </c>
      <c r="G14" s="16">
        <f>SUM(C14:F14)</f>
        <v>148105.5</v>
      </c>
      <c r="H14" s="2"/>
    </row>
    <row r="15" spans="1:14" ht="15.6" x14ac:dyDescent="0.3">
      <c r="A15" s="2"/>
      <c r="B15" s="11" t="s">
        <v>75</v>
      </c>
      <c r="C15" s="16">
        <f>C14+C5</f>
        <v>213500</v>
      </c>
      <c r="D15" s="16">
        <f t="shared" ref="D15:G15" si="1">D14+D5</f>
        <v>76605.5</v>
      </c>
      <c r="E15" s="16">
        <f t="shared" si="1"/>
        <v>97800</v>
      </c>
      <c r="F15" s="16">
        <f t="shared" si="1"/>
        <v>99500</v>
      </c>
      <c r="G15" s="16">
        <f t="shared" si="1"/>
        <v>487405.5</v>
      </c>
      <c r="H15" s="2"/>
    </row>
    <row r="16" spans="1:14" ht="15.6" x14ac:dyDescent="0.3">
      <c r="A16" s="2"/>
      <c r="B16" s="11"/>
      <c r="C16" s="11"/>
      <c r="D16" s="11"/>
      <c r="E16" s="11"/>
      <c r="F16" s="11"/>
      <c r="G16" s="11"/>
      <c r="H16" s="2"/>
    </row>
    <row r="17" spans="1:8" ht="15.6" x14ac:dyDescent="0.3">
      <c r="A17" s="2"/>
      <c r="B17" s="11"/>
      <c r="C17" s="11"/>
      <c r="D17" s="11"/>
      <c r="E17" s="11"/>
      <c r="F17" s="11"/>
      <c r="G17" s="11"/>
      <c r="H17" s="2"/>
    </row>
    <row r="18" spans="1:8" s="6" customFormat="1" ht="39.75" customHeight="1" x14ac:dyDescent="0.3">
      <c r="A18" s="11"/>
      <c r="B18" s="149" t="s">
        <v>52</v>
      </c>
      <c r="C18" s="149"/>
      <c r="D18" s="149"/>
      <c r="E18" s="149"/>
      <c r="F18" s="149"/>
      <c r="G18" s="149"/>
      <c r="H18" s="11"/>
    </row>
    <row r="19" spans="1:8" ht="15.6" x14ac:dyDescent="0.3">
      <c r="A19" s="2"/>
      <c r="B19" s="29"/>
      <c r="C19" s="29" t="s">
        <v>40</v>
      </c>
      <c r="D19" s="29" t="s">
        <v>37</v>
      </c>
      <c r="E19" s="29" t="s">
        <v>38</v>
      </c>
      <c r="F19" s="29" t="s">
        <v>41</v>
      </c>
      <c r="G19" s="29" t="s">
        <v>42</v>
      </c>
      <c r="H19" s="2"/>
    </row>
    <row r="20" spans="1:8" ht="15.6" x14ac:dyDescent="0.3">
      <c r="A20" s="2"/>
      <c r="B20" s="34" t="s">
        <v>43</v>
      </c>
      <c r="C20" s="35">
        <f>'Arcadia 85'!C4</f>
        <v>6000000</v>
      </c>
      <c r="D20" s="35">
        <f>'Frauscher Demon'!C4</f>
        <v>1500000</v>
      </c>
      <c r="E20" s="35">
        <f>'SACS 55'!C4</f>
        <v>2630000</v>
      </c>
      <c r="F20" s="35">
        <f>'Manda S05'!C4</f>
        <v>950000</v>
      </c>
      <c r="G20" s="36">
        <f t="shared" ref="G20:G25" si="2">SUM(C20:F20)</f>
        <v>11080000</v>
      </c>
      <c r="H20" s="2"/>
    </row>
    <row r="21" spans="1:8" ht="15.6" x14ac:dyDescent="0.3">
      <c r="A21" s="2"/>
      <c r="B21" s="34" t="s">
        <v>36</v>
      </c>
      <c r="C21" s="35">
        <f>'Arcadia 85'!K43</f>
        <v>1080000</v>
      </c>
      <c r="D21" s="35">
        <f>'Frauscher Demon'!L44</f>
        <v>390000</v>
      </c>
      <c r="E21" s="35">
        <f>'SACS 55'!K43</f>
        <v>450000</v>
      </c>
      <c r="F21" s="35">
        <f>'Manda S05'!K42</f>
        <v>480000</v>
      </c>
      <c r="G21" s="36">
        <f t="shared" si="2"/>
        <v>2400000</v>
      </c>
      <c r="H21" s="2"/>
    </row>
    <row r="22" spans="1:8" ht="15.6" x14ac:dyDescent="0.3">
      <c r="A22" s="2"/>
      <c r="B22" s="34" t="s">
        <v>11</v>
      </c>
      <c r="C22" s="35">
        <f>'Arcadia 85'!K44</f>
        <v>108000</v>
      </c>
      <c r="D22" s="35">
        <f>'Frauscher Demon'!L45</f>
        <v>39000</v>
      </c>
      <c r="E22" s="35">
        <f>'SACS 55'!K44</f>
        <v>45000</v>
      </c>
      <c r="F22" s="35">
        <f>'Manda S05'!K43</f>
        <v>48000</v>
      </c>
      <c r="G22" s="36">
        <f t="shared" si="2"/>
        <v>240000</v>
      </c>
      <c r="H22" s="2"/>
    </row>
    <row r="23" spans="1:8" ht="15.6" x14ac:dyDescent="0.3">
      <c r="A23" s="2"/>
      <c r="B23" s="34" t="s">
        <v>12</v>
      </c>
      <c r="C23" s="35">
        <f>'Arcadia 85'!K45</f>
        <v>530905.7333333334</v>
      </c>
      <c r="D23" s="35">
        <f>'Frauscher Demon'!L46</f>
        <v>181682.08333333334</v>
      </c>
      <c r="E23" s="35">
        <f>'SACS 55'!K45</f>
        <v>246091.2</v>
      </c>
      <c r="F23" s="35">
        <f>'Manda S05'!K44</f>
        <v>210634.53333333335</v>
      </c>
      <c r="G23" s="36">
        <f t="shared" si="2"/>
        <v>1169313.5500000003</v>
      </c>
      <c r="H23" s="2"/>
    </row>
    <row r="24" spans="1:8" ht="31.2" x14ac:dyDescent="0.3">
      <c r="A24" s="2"/>
      <c r="B24" s="34" t="s">
        <v>31</v>
      </c>
      <c r="C24" s="35">
        <f>'Arcadia 85'!K46</f>
        <v>441094.2666666666</v>
      </c>
      <c r="D24" s="35">
        <f>'Frauscher Demon'!L47</f>
        <v>169317.91666666666</v>
      </c>
      <c r="E24" s="35">
        <f>'SACS 55'!K46</f>
        <v>158908.79999999999</v>
      </c>
      <c r="F24" s="35">
        <f>'Manda S05'!K45</f>
        <v>221365.46666666665</v>
      </c>
      <c r="G24" s="36">
        <f t="shared" si="2"/>
        <v>990686.44999999984</v>
      </c>
      <c r="H24" s="2"/>
    </row>
    <row r="25" spans="1:8" ht="31.2" x14ac:dyDescent="0.3">
      <c r="A25" s="2"/>
      <c r="B25" s="34" t="s">
        <v>32</v>
      </c>
      <c r="C25" s="35">
        <f>'Arcadia 85'!K47</f>
        <v>419039.55333333329</v>
      </c>
      <c r="D25" s="35">
        <f>'Frauscher Demon'!L48</f>
        <v>160852.02083333331</v>
      </c>
      <c r="E25" s="35">
        <f>'SACS 55'!K47</f>
        <v>150963.35999999999</v>
      </c>
      <c r="F25" s="35">
        <f>'Manda S05'!K46</f>
        <v>210297.1933333333</v>
      </c>
      <c r="G25" s="36">
        <f t="shared" si="2"/>
        <v>941152.12749999994</v>
      </c>
      <c r="H25" s="2"/>
    </row>
    <row r="26" spans="1:8" ht="15.6" x14ac:dyDescent="0.3">
      <c r="A26" s="2"/>
      <c r="B26" s="34"/>
      <c r="C26" s="35"/>
      <c r="D26" s="35"/>
      <c r="E26" s="35"/>
      <c r="F26" s="35"/>
      <c r="G26" s="36"/>
      <c r="H26" s="2"/>
    </row>
    <row r="27" spans="1:8" ht="15.6" x14ac:dyDescent="0.3">
      <c r="A27" s="2"/>
      <c r="B27" s="34" t="s">
        <v>13</v>
      </c>
      <c r="C27" s="37">
        <f>'Arcadia 85'!K49</f>
        <v>6.9839925555555543E-2</v>
      </c>
      <c r="D27" s="38">
        <f>'Frauscher Demon'!L50</f>
        <v>0.10723468055555554</v>
      </c>
      <c r="E27" s="37">
        <f>'SACS 55'!K49</f>
        <v>5.7400517110266155E-2</v>
      </c>
      <c r="F27" s="37">
        <f>'Manda S05'!K48</f>
        <v>0.22136546666666662</v>
      </c>
      <c r="G27" s="38">
        <f>G25/G20</f>
        <v>8.494152775270758E-2</v>
      </c>
      <c r="H27" s="2"/>
    </row>
    <row r="28" spans="1:8" ht="15.6" x14ac:dyDescent="0.3">
      <c r="A28" s="2"/>
      <c r="B28" s="94"/>
      <c r="C28" s="87"/>
      <c r="D28" s="95"/>
      <c r="E28" s="87"/>
      <c r="F28" s="87"/>
      <c r="G28" s="95"/>
      <c r="H28" s="2"/>
    </row>
    <row r="29" spans="1:8" s="93" customFormat="1" ht="15.6" x14ac:dyDescent="0.3">
      <c r="A29" s="89"/>
      <c r="B29" s="97" t="s">
        <v>55</v>
      </c>
      <c r="C29" s="90">
        <f>'Arcadia 85'!I52</f>
        <v>27500</v>
      </c>
      <c r="D29" s="96">
        <f>'Frauscher Demon'!J53</f>
        <v>9105.5</v>
      </c>
      <c r="E29" s="90">
        <f>'SACS 55'!I52</f>
        <v>15000</v>
      </c>
      <c r="F29" s="90">
        <f>'Manda S05'!I51</f>
        <v>12500</v>
      </c>
      <c r="G29" s="96">
        <f>SUM(C29:F29)</f>
        <v>64105.5</v>
      </c>
      <c r="H29" s="89"/>
    </row>
    <row r="30" spans="1:8" s="93" customFormat="1" ht="15.6" x14ac:dyDescent="0.3">
      <c r="A30" s="89"/>
      <c r="B30" s="98" t="s">
        <v>56</v>
      </c>
      <c r="C30" s="89">
        <f>'Arcadia 85'!J52</f>
        <v>18000</v>
      </c>
      <c r="D30" s="89">
        <f>'Frauscher Demon'!K53</f>
        <v>9000</v>
      </c>
      <c r="E30" s="89">
        <f>'SACS 55'!J52</f>
        <v>9000</v>
      </c>
      <c r="F30" s="89">
        <f>'Manda S05'!J51</f>
        <v>9000</v>
      </c>
      <c r="G30" s="89">
        <f>SUM(C30:F30)</f>
        <v>45000</v>
      </c>
      <c r="H30" s="89"/>
    </row>
    <row r="31" spans="1:8" ht="15.6" x14ac:dyDescent="0.3">
      <c r="A31" s="2"/>
      <c r="B31" s="11" t="s">
        <v>71</v>
      </c>
      <c r="C31" s="16">
        <f>'Arcadia 85'!K52</f>
        <v>45500</v>
      </c>
      <c r="D31" s="16">
        <f>'Frauscher Demon'!L53</f>
        <v>18105.5</v>
      </c>
      <c r="E31" s="16">
        <f>'SACS 55'!K52</f>
        <v>24000</v>
      </c>
      <c r="F31" s="16">
        <f>'Manda S05'!K51</f>
        <v>21500</v>
      </c>
      <c r="G31" s="16">
        <f>SUM(C31:F31)</f>
        <v>109105.5</v>
      </c>
      <c r="H31" s="2"/>
    </row>
    <row r="32" spans="1:8" ht="15.6" x14ac:dyDescent="0.3">
      <c r="A32" s="2"/>
      <c r="B32" s="11" t="s">
        <v>70</v>
      </c>
      <c r="C32" s="16">
        <f>C31+C22</f>
        <v>153500</v>
      </c>
      <c r="D32" s="16">
        <f>D31+D22</f>
        <v>57105.5</v>
      </c>
      <c r="E32" s="16">
        <f t="shared" ref="E32:G32" si="3">E31+E22</f>
        <v>69000</v>
      </c>
      <c r="F32" s="16">
        <f t="shared" si="3"/>
        <v>69500</v>
      </c>
      <c r="G32" s="16">
        <f t="shared" si="3"/>
        <v>349105.5</v>
      </c>
      <c r="H32" s="2"/>
    </row>
    <row r="33" spans="1:8" ht="15.6" x14ac:dyDescent="0.3">
      <c r="A33" s="2"/>
      <c r="B33" s="11"/>
      <c r="C33" s="11"/>
      <c r="D33" s="11"/>
      <c r="E33" s="11"/>
      <c r="F33" s="11"/>
      <c r="G33" s="11"/>
      <c r="H33" s="2"/>
    </row>
    <row r="34" spans="1:8" ht="15.6" x14ac:dyDescent="0.3">
      <c r="A34" s="2"/>
      <c r="B34" s="11"/>
      <c r="C34" s="11"/>
      <c r="D34" s="11"/>
      <c r="E34" s="11"/>
      <c r="F34" s="11"/>
      <c r="G34" s="11"/>
      <c r="H34" s="2"/>
    </row>
    <row r="36" spans="1:8" x14ac:dyDescent="0.3">
      <c r="B36" s="6" t="s">
        <v>58</v>
      </c>
    </row>
    <row r="38" spans="1:8" x14ac:dyDescent="0.3">
      <c r="B38" s="6" t="s">
        <v>59</v>
      </c>
      <c r="C38" s="6">
        <v>3000</v>
      </c>
    </row>
    <row r="39" spans="1:8" x14ac:dyDescent="0.3">
      <c r="B39" s="6" t="s">
        <v>60</v>
      </c>
      <c r="C39" s="6">
        <v>1000</v>
      </c>
    </row>
    <row r="40" spans="1:8" x14ac:dyDescent="0.3">
      <c r="B40" s="6" t="s">
        <v>61</v>
      </c>
      <c r="C40" s="6">
        <v>1500</v>
      </c>
    </row>
    <row r="41" spans="1:8" x14ac:dyDescent="0.3">
      <c r="B41" s="6" t="s">
        <v>62</v>
      </c>
      <c r="C41" s="6">
        <v>1500</v>
      </c>
    </row>
    <row r="42" spans="1:8" x14ac:dyDescent="0.3">
      <c r="B42" s="6" t="s">
        <v>63</v>
      </c>
      <c r="C42" s="6">
        <v>2500</v>
      </c>
    </row>
  </sheetData>
  <mergeCells count="2">
    <mergeCell ref="B1:G1"/>
    <mergeCell ref="B18:G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Arcadia 85</vt:lpstr>
      <vt:lpstr>A 85 Service List</vt:lpstr>
      <vt:lpstr>Frauscher Demon</vt:lpstr>
      <vt:lpstr>FD Service List</vt:lpstr>
      <vt:lpstr>SACS 55</vt:lpstr>
      <vt:lpstr>S 55 Service LIst</vt:lpstr>
      <vt:lpstr>Manda S05</vt:lpstr>
      <vt:lpstr>S05 Service List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</dc:creator>
  <cp:lastModifiedBy>User 8</cp:lastModifiedBy>
  <dcterms:created xsi:type="dcterms:W3CDTF">2023-07-25T11:16:39Z</dcterms:created>
  <dcterms:modified xsi:type="dcterms:W3CDTF">2024-12-02T22:59:36Z</dcterms:modified>
</cp:coreProperties>
</file>